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hidePivotFieldList="1" defaultThemeVersion="166925"/>
  <xr:revisionPtr revIDLastSave="0" documentId="8_{9776115E-21CD-440D-83E2-820AEBF8149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2" sheetId="2" r:id="rId1"/>
    <sheet name="Sheet1" sheetId="1" r:id="rId2"/>
  </sheets>
  <calcPr calcId="191028"/>
  <pivotCaches>
    <pivotCache cacheId="686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6" i="1" l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2" i="1"/>
</calcChain>
</file>

<file path=xl/sharedStrings.xml><?xml version="1.0" encoding="utf-8"?>
<sst xmlns="http://schemas.openxmlformats.org/spreadsheetml/2006/main" count="569" uniqueCount="31">
  <si>
    <t>Sum of quantity_sold</t>
  </si>
  <si>
    <t>customer_region</t>
  </si>
  <si>
    <t>product_category</t>
  </si>
  <si>
    <t>Asia</t>
  </si>
  <si>
    <t>Europe</t>
  </si>
  <si>
    <t>Middle East</t>
  </si>
  <si>
    <t>North America</t>
  </si>
  <si>
    <t>Grand Total</t>
  </si>
  <si>
    <t>Beauty</t>
  </si>
  <si>
    <t>Books</t>
  </si>
  <si>
    <t>Electronics</t>
  </si>
  <si>
    <t>Fashion</t>
  </si>
  <si>
    <t>Home &amp; Kitchen</t>
  </si>
  <si>
    <t>Sports</t>
  </si>
  <si>
    <t>months</t>
  </si>
  <si>
    <t>order_id</t>
  </si>
  <si>
    <t>order_date</t>
  </si>
  <si>
    <t>product_id</t>
  </si>
  <si>
    <t>price</t>
  </si>
  <si>
    <t>discount_percent</t>
  </si>
  <si>
    <t>quantity_sold</t>
  </si>
  <si>
    <t>payment_method</t>
  </si>
  <si>
    <t>rating</t>
  </si>
  <si>
    <t>review_count</t>
  </si>
  <si>
    <t>discounted_price</t>
  </si>
  <si>
    <t>total_revenue</t>
  </si>
  <si>
    <t>UPI</t>
  </si>
  <si>
    <t>Credit Card</t>
  </si>
  <si>
    <t>Wallet</t>
  </si>
  <si>
    <t>Cash on Delivery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</si>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</sst>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2.xlsx]Sheet2!PivotTable1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DISTRIBUTION</a:t>
            </a:r>
          </a:p>
        </c:rich>
      </c:tx>
      <c:layout>
        <c:manualLayout>
          <c:xMode val="edge"/>
          <c:yMode val="edge"/>
          <c:x val="0.27407637659374917"/>
          <c:y val="2.19907407407407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Asia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Sheet2!$B$5:$B$11</c:f>
              <c:numCache>
                <c:formatCode>General</c:formatCode>
                <c:ptCount val="6"/>
                <c:pt idx="0">
                  <c:v>17</c:v>
                </c:pt>
                <c:pt idx="1">
                  <c:v>26</c:v>
                </c:pt>
                <c:pt idx="2">
                  <c:v>5</c:v>
                </c:pt>
                <c:pt idx="3">
                  <c:v>23</c:v>
                </c:pt>
                <c:pt idx="4">
                  <c:v>16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5E-4FB8-BEC3-A164E5A19DEA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Europe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Sheet2!$C$5:$C$11</c:f>
              <c:numCache>
                <c:formatCode>General</c:formatCode>
                <c:ptCount val="6"/>
                <c:pt idx="0">
                  <c:v>13</c:v>
                </c:pt>
                <c:pt idx="1">
                  <c:v>18</c:v>
                </c:pt>
                <c:pt idx="2">
                  <c:v>21</c:v>
                </c:pt>
                <c:pt idx="3">
                  <c:v>17</c:v>
                </c:pt>
                <c:pt idx="4">
                  <c:v>19</c:v>
                </c:pt>
                <c:pt idx="5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5E-4FB8-BEC3-A164E5A19DEA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Middle East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Sheet2!$D$5:$D$11</c:f>
              <c:numCache>
                <c:formatCode>General</c:formatCode>
                <c:ptCount val="6"/>
                <c:pt idx="0">
                  <c:v>35</c:v>
                </c:pt>
                <c:pt idx="1">
                  <c:v>29</c:v>
                </c:pt>
                <c:pt idx="2">
                  <c:v>21</c:v>
                </c:pt>
                <c:pt idx="3">
                  <c:v>24</c:v>
                </c:pt>
                <c:pt idx="4">
                  <c:v>13</c:v>
                </c:pt>
                <c:pt idx="5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45E-4FB8-BEC3-A164E5A19DEA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North America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Sheet2!$A$5:$A$11</c:f>
              <c:strCache>
                <c:ptCount val="6"/>
                <c:pt idx="0">
                  <c:v>Beauty</c:v>
                </c:pt>
                <c:pt idx="1">
                  <c:v>Books</c:v>
                </c:pt>
                <c:pt idx="2">
                  <c:v>Electronics</c:v>
                </c:pt>
                <c:pt idx="3">
                  <c:v>Fashion</c:v>
                </c:pt>
                <c:pt idx="4">
                  <c:v>Home &amp; Kitchen</c:v>
                </c:pt>
                <c:pt idx="5">
                  <c:v>Sports</c:v>
                </c:pt>
              </c:strCache>
            </c:strRef>
          </c:cat>
          <c:val>
            <c:numRef>
              <c:f>Sheet2!$E$5:$E$11</c:f>
              <c:numCache>
                <c:formatCode>General</c:formatCode>
                <c:ptCount val="6"/>
                <c:pt idx="0">
                  <c:v>14</c:v>
                </c:pt>
                <c:pt idx="1">
                  <c:v>22</c:v>
                </c:pt>
                <c:pt idx="2">
                  <c:v>25</c:v>
                </c:pt>
                <c:pt idx="3">
                  <c:v>23</c:v>
                </c:pt>
                <c:pt idx="4">
                  <c:v>17</c:v>
                </c:pt>
                <c:pt idx="5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5E-4FB8-BEC3-A164E5A19D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6481415"/>
        <c:axId val="246483463"/>
      </c:barChart>
      <c:catAx>
        <c:axId val="246481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83463"/>
        <c:crosses val="autoZero"/>
        <c:auto val="1"/>
        <c:lblAlgn val="ctr"/>
        <c:lblOffset val="100"/>
        <c:noMultiLvlLbl val="0"/>
      </c:catAx>
      <c:valAx>
        <c:axId val="246483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6481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 2.xlsx]Sheet2!PivotTable2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Sheet2!$B$26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Sheet2!$A$27:$A$39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Sheet2!$B$27:$B$39</c:f>
              <c:numCache>
                <c:formatCode>General</c:formatCode>
                <c:ptCount val="12"/>
                <c:pt idx="0">
                  <c:v>62</c:v>
                </c:pt>
                <c:pt idx="1">
                  <c:v>38</c:v>
                </c:pt>
                <c:pt idx="2">
                  <c:v>26</c:v>
                </c:pt>
                <c:pt idx="3">
                  <c:v>66</c:v>
                </c:pt>
                <c:pt idx="4">
                  <c:v>41</c:v>
                </c:pt>
                <c:pt idx="5">
                  <c:v>32</c:v>
                </c:pt>
                <c:pt idx="6">
                  <c:v>74</c:v>
                </c:pt>
                <c:pt idx="7">
                  <c:v>40</c:v>
                </c:pt>
                <c:pt idx="8">
                  <c:v>30</c:v>
                </c:pt>
                <c:pt idx="9">
                  <c:v>33</c:v>
                </c:pt>
                <c:pt idx="10">
                  <c:v>34</c:v>
                </c:pt>
                <c:pt idx="11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39-42FF-A4CE-719885BF3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038855"/>
        <c:axId val="112439815"/>
      </c:barChart>
      <c:catAx>
        <c:axId val="9038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439815"/>
        <c:crosses val="autoZero"/>
        <c:auto val="1"/>
        <c:lblAlgn val="ctr"/>
        <c:lblOffset val="100"/>
        <c:noMultiLvlLbl val="0"/>
      </c:catAx>
      <c:valAx>
        <c:axId val="112439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38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390525</xdr:colOff>
      <xdr:row>0</xdr:row>
      <xdr:rowOff>57150</xdr:rowOff>
    </xdr:from>
    <xdr:to>
      <xdr:col>15</xdr:col>
      <xdr:colOff>85725</xdr:colOff>
      <xdr:row>14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C31C54-2327-027A-1119-0CF3FDAAF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22</xdr:row>
      <xdr:rowOff>47625</xdr:rowOff>
    </xdr:from>
    <xdr:to>
      <xdr:col>15</xdr:col>
      <xdr:colOff>57150</xdr:colOff>
      <xdr:row>36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7DABE1E-BB84-8747-614E-BAE18AACBFC5}"/>
            </a:ext>
            <a:ext uri="{147F2762-F138-4A5C-976F-8EAC2B608ADB}">
              <a16:predDERef xmlns:a16="http://schemas.microsoft.com/office/drawing/2014/main" pred="{15C31C54-2327-027A-1119-0CF3FDAAF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86.511566782407" createdVersion="8" refreshedVersion="8" minRefreshableVersion="3" recordCount="179" xr:uid="{6ED79FDC-598B-4D27-83D1-63D124254D72}">
  <cacheSource type="worksheet">
    <worksheetSource ref="A1:N180" sheet="Sheet1"/>
  </cacheSource>
  <cacheFields count="14">
    <cacheField name="order_id" numFmtId="0">
      <sharedItems containsSemiMixedTypes="0" containsString="0" containsNumber="1" containsInteger="1" minValue="1" maxValue="179"/>
    </cacheField>
    <cacheField name="order_date" numFmtId="14">
      <sharedItems containsSemiMixedTypes="0" containsNonDate="0" containsDate="1" containsString="0" minDate="2022-01-02T00:00:00" maxDate="2024-01-01T00:00:00"/>
    </cacheField>
    <cacheField name="months" numFmtId="0">
      <sharedItems containsSemiMixedTypes="0" containsString="0" containsNumber="1" containsInteger="1" minValue="1" maxValue="12" count="12">
        <n v="4"/>
        <n v="3"/>
        <n v="9"/>
        <n v="12"/>
        <n v="1"/>
        <n v="5"/>
        <n v="8"/>
        <n v="11"/>
        <n v="10"/>
        <n v="2"/>
        <n v="7"/>
        <n v="6"/>
      </sharedItems>
    </cacheField>
    <cacheField name="product_id" numFmtId="0">
      <sharedItems containsSemiMixedTypes="0" containsString="0" containsNumber="1" containsInteger="1" minValue="1006" maxValue="4991"/>
    </cacheField>
    <cacheField name="product_category" numFmtId="0">
      <sharedItems count="6">
        <s v="Books"/>
        <s v="Fashion"/>
        <s v="Sports"/>
        <s v="Beauty"/>
        <s v="Electronics"/>
        <s v="Home &amp; Kitchen"/>
      </sharedItems>
    </cacheField>
    <cacheField name="price" numFmtId="0">
      <sharedItems containsSemiMixedTypes="0" containsString="0" containsNumber="1" minValue="5.99" maxValue="496.15"/>
    </cacheField>
    <cacheField name="discount_percent" numFmtId="0">
      <sharedItems containsSemiMixedTypes="0" containsString="0" containsNumber="1" containsInteger="1" minValue="0" maxValue="30"/>
    </cacheField>
    <cacheField name="quantity_sold" numFmtId="0">
      <sharedItems containsSemiMixedTypes="0" containsString="0" containsNumber="1" containsInteger="1" minValue="1" maxValue="5"/>
    </cacheField>
    <cacheField name="customer_region" numFmtId="0">
      <sharedItems count="4">
        <s v="North America"/>
        <s v="Asia"/>
        <s v="Europe"/>
        <s v="Middle East"/>
      </sharedItems>
    </cacheField>
    <cacheField name="payment_method" numFmtId="0">
      <sharedItems/>
    </cacheField>
    <cacheField name="rating" numFmtId="0">
      <sharedItems containsSemiMixedTypes="0" containsString="0" containsNumber="1" minValue="1" maxValue="5"/>
    </cacheField>
    <cacheField name="review_count" numFmtId="0">
      <sharedItems containsSemiMixedTypes="0" containsString="0" containsNumber="1" containsInteger="1" minValue="0" maxValue="498"/>
    </cacheField>
    <cacheField name="discounted_price" numFmtId="0">
      <sharedItems containsSemiMixedTypes="0" containsString="0" containsNumber="1" minValue="4.79" maxValue="471.27"/>
    </cacheField>
    <cacheField name="total_revenue" numFmtId="0">
      <sharedItems containsSemiMixedTypes="0" containsString="0" containsNumber="1" minValue="9.58" maxValue="1811.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9">
  <r>
    <n v="1"/>
    <d v="2022-04-13T00:00:00"/>
    <x v="0"/>
    <n v="2637"/>
    <x v="0"/>
    <n v="128.75"/>
    <n v="10"/>
    <n v="4"/>
    <x v="0"/>
    <s v="UPI"/>
    <n v="3.5"/>
    <n v="443"/>
    <n v="115.88"/>
    <n v="463.52"/>
  </r>
  <r>
    <n v="2"/>
    <d v="2023-03-12T00:00:00"/>
    <x v="1"/>
    <n v="2300"/>
    <x v="1"/>
    <n v="302.60000000000002"/>
    <n v="20"/>
    <n v="5"/>
    <x v="1"/>
    <s v="Credit Card"/>
    <n v="3.7"/>
    <n v="475"/>
    <n v="242.08"/>
    <n v="1210.4000000000001"/>
  </r>
  <r>
    <n v="3"/>
    <d v="2022-09-28T00:00:00"/>
    <x v="2"/>
    <n v="3670"/>
    <x v="2"/>
    <n v="495.8"/>
    <n v="20"/>
    <n v="2"/>
    <x v="2"/>
    <s v="UPI"/>
    <n v="4.4000000000000004"/>
    <n v="183"/>
    <n v="396.64"/>
    <n v="793.28"/>
  </r>
  <r>
    <n v="4"/>
    <d v="2022-04-17T00:00:00"/>
    <x v="0"/>
    <n v="2522"/>
    <x v="0"/>
    <n v="371.95"/>
    <n v="15"/>
    <n v="4"/>
    <x v="3"/>
    <s v="UPI"/>
    <n v="5"/>
    <n v="212"/>
    <n v="316.16000000000003"/>
    <n v="1264.6400000000001"/>
  </r>
  <r>
    <n v="5"/>
    <d v="2022-03-13T00:00:00"/>
    <x v="1"/>
    <n v="1717"/>
    <x v="3"/>
    <n v="201.68"/>
    <n v="0"/>
    <n v="4"/>
    <x v="3"/>
    <s v="UPI"/>
    <n v="4.5999999999999996"/>
    <n v="308"/>
    <n v="201.68"/>
    <n v="806.72"/>
  </r>
  <r>
    <n v="6"/>
    <d v="2023-12-02T00:00:00"/>
    <x v="3"/>
    <n v="1777"/>
    <x v="2"/>
    <n v="385.17"/>
    <n v="30"/>
    <n v="3"/>
    <x v="1"/>
    <s v="Wallet"/>
    <n v="3.8"/>
    <n v="489"/>
    <n v="269.62"/>
    <n v="808.86"/>
  </r>
  <r>
    <n v="7"/>
    <d v="2022-01-21T00:00:00"/>
    <x v="4"/>
    <n v="4068"/>
    <x v="0"/>
    <n v="15.78"/>
    <n v="0"/>
    <n v="5"/>
    <x v="1"/>
    <s v="UPI"/>
    <n v="1.6"/>
    <n v="415"/>
    <n v="15.78"/>
    <n v="78.900000000000006"/>
  </r>
  <r>
    <n v="8"/>
    <d v="2023-09-07T00:00:00"/>
    <x v="2"/>
    <n v="3537"/>
    <x v="1"/>
    <n v="111.59"/>
    <n v="30"/>
    <n v="4"/>
    <x v="3"/>
    <s v="UPI"/>
    <n v="3.4"/>
    <n v="143"/>
    <n v="78.11"/>
    <n v="312.44"/>
  </r>
  <r>
    <n v="9"/>
    <d v="2022-05-02T00:00:00"/>
    <x v="5"/>
    <n v="3262"/>
    <x v="0"/>
    <n v="373.62"/>
    <n v="0"/>
    <n v="4"/>
    <x v="1"/>
    <s v="Wallet"/>
    <n v="2.8"/>
    <n v="497"/>
    <n v="373.62"/>
    <n v="1494.48"/>
  </r>
  <r>
    <n v="10"/>
    <d v="2023-04-12T00:00:00"/>
    <x v="0"/>
    <n v="4174"/>
    <x v="2"/>
    <n v="134.81"/>
    <n v="15"/>
    <n v="2"/>
    <x v="3"/>
    <s v="Cash on Delivery"/>
    <n v="2"/>
    <n v="25"/>
    <n v="114.59"/>
    <n v="229.18"/>
  </r>
  <r>
    <n v="11"/>
    <d v="2022-08-03T00:00:00"/>
    <x v="6"/>
    <n v="4878"/>
    <x v="4"/>
    <n v="67.430000000000007"/>
    <n v="20"/>
    <n v="4"/>
    <x v="2"/>
    <s v="Debit Card"/>
    <n v="4.3"/>
    <n v="426"/>
    <n v="53.94"/>
    <n v="215.76"/>
  </r>
  <r>
    <n v="12"/>
    <d v="2022-11-27T00:00:00"/>
    <x v="7"/>
    <n v="3637"/>
    <x v="0"/>
    <n v="150.19"/>
    <n v="0"/>
    <n v="1"/>
    <x v="0"/>
    <s v="Cash on Delivery"/>
    <n v="4.4000000000000004"/>
    <n v="279"/>
    <n v="150.19"/>
    <n v="150.19"/>
  </r>
  <r>
    <n v="13"/>
    <d v="2023-04-04T00:00:00"/>
    <x v="0"/>
    <n v="3222"/>
    <x v="4"/>
    <n v="89.81"/>
    <n v="0"/>
    <n v="3"/>
    <x v="2"/>
    <s v="UPI"/>
    <n v="3.6"/>
    <n v="151"/>
    <n v="89.81"/>
    <n v="269.43"/>
  </r>
  <r>
    <n v="14"/>
    <d v="2022-03-29T00:00:00"/>
    <x v="1"/>
    <n v="4925"/>
    <x v="5"/>
    <n v="213.22"/>
    <n v="0"/>
    <n v="3"/>
    <x v="2"/>
    <s v="Credit Card"/>
    <n v="1.4"/>
    <n v="239"/>
    <n v="213.22"/>
    <n v="639.66"/>
  </r>
  <r>
    <n v="15"/>
    <d v="2023-01-08T00:00:00"/>
    <x v="4"/>
    <n v="1051"/>
    <x v="3"/>
    <n v="66.650000000000006"/>
    <n v="10"/>
    <n v="2"/>
    <x v="0"/>
    <s v="Debit Card"/>
    <n v="4.5999999999999996"/>
    <n v="262"/>
    <n v="59.99"/>
    <n v="119.98"/>
  </r>
  <r>
    <n v="16"/>
    <d v="2022-04-10T00:00:00"/>
    <x v="0"/>
    <n v="3344"/>
    <x v="4"/>
    <n v="419.66"/>
    <n v="0"/>
    <n v="3"/>
    <x v="3"/>
    <s v="Credit Card"/>
    <n v="2.7"/>
    <n v="46"/>
    <n v="419.66"/>
    <n v="1258.98"/>
  </r>
  <r>
    <n v="17"/>
    <d v="2023-10-26T00:00:00"/>
    <x v="8"/>
    <n v="3011"/>
    <x v="2"/>
    <n v="391.09"/>
    <n v="5"/>
    <n v="3"/>
    <x v="3"/>
    <s v="Credit Card"/>
    <n v="3.7"/>
    <n v="51"/>
    <n v="371.54"/>
    <n v="1114.6199999999999"/>
  </r>
  <r>
    <n v="18"/>
    <d v="2022-05-11T00:00:00"/>
    <x v="5"/>
    <n v="3222"/>
    <x v="5"/>
    <n v="156.94999999999999"/>
    <n v="30"/>
    <n v="3"/>
    <x v="3"/>
    <s v="Cash on Delivery"/>
    <n v="2.9"/>
    <n v="354"/>
    <n v="109.86"/>
    <n v="329.58"/>
  </r>
  <r>
    <n v="19"/>
    <d v="2023-10-24T00:00:00"/>
    <x v="8"/>
    <n v="1968"/>
    <x v="5"/>
    <n v="262.36"/>
    <n v="10"/>
    <n v="1"/>
    <x v="1"/>
    <s v="Wallet"/>
    <n v="4.5999999999999996"/>
    <n v="473"/>
    <n v="236.12"/>
    <n v="236.12"/>
  </r>
  <r>
    <n v="20"/>
    <d v="2022-11-05T00:00:00"/>
    <x v="7"/>
    <n v="3390"/>
    <x v="1"/>
    <n v="428.24"/>
    <n v="30"/>
    <n v="3"/>
    <x v="3"/>
    <s v="Wallet"/>
    <n v="1.2"/>
    <n v="331"/>
    <n v="299.77"/>
    <n v="899.31"/>
  </r>
  <r>
    <n v="21"/>
    <d v="2022-12-10T00:00:00"/>
    <x v="3"/>
    <n v="2734"/>
    <x v="5"/>
    <n v="464.87"/>
    <n v="10"/>
    <n v="3"/>
    <x v="0"/>
    <s v="Wallet"/>
    <n v="3.8"/>
    <n v="490"/>
    <n v="418.38"/>
    <n v="1255.1400000000001"/>
  </r>
  <r>
    <n v="22"/>
    <d v="2023-05-07T00:00:00"/>
    <x v="5"/>
    <n v="1599"/>
    <x v="3"/>
    <n v="50.09"/>
    <n v="0"/>
    <n v="1"/>
    <x v="2"/>
    <s v="UPI"/>
    <n v="4.3"/>
    <n v="34"/>
    <n v="50.09"/>
    <n v="50.09"/>
  </r>
  <r>
    <n v="23"/>
    <d v="2023-02-18T00:00:00"/>
    <x v="9"/>
    <n v="1170"/>
    <x v="3"/>
    <n v="362.4"/>
    <n v="15"/>
    <n v="2"/>
    <x v="0"/>
    <s v="Debit Card"/>
    <n v="2.4"/>
    <n v="318"/>
    <n v="308.04000000000002"/>
    <n v="616.08000000000004"/>
  </r>
  <r>
    <n v="24"/>
    <d v="2023-01-21T00:00:00"/>
    <x v="4"/>
    <n v="4108"/>
    <x v="3"/>
    <n v="72.05"/>
    <n v="20"/>
    <n v="2"/>
    <x v="3"/>
    <s v="Debit Card"/>
    <n v="4.4000000000000004"/>
    <n v="129"/>
    <n v="57.64"/>
    <n v="115.28"/>
  </r>
  <r>
    <n v="25"/>
    <d v="2022-07-11T00:00:00"/>
    <x v="10"/>
    <n v="2658"/>
    <x v="3"/>
    <n v="14.92"/>
    <n v="15"/>
    <n v="1"/>
    <x v="3"/>
    <s v="Wallet"/>
    <n v="1"/>
    <n v="498"/>
    <n v="12.68"/>
    <n v="12.68"/>
  </r>
  <r>
    <n v="26"/>
    <d v="2022-10-04T00:00:00"/>
    <x v="8"/>
    <n v="4272"/>
    <x v="1"/>
    <n v="44.08"/>
    <n v="15"/>
    <n v="1"/>
    <x v="2"/>
    <s v="Debit Card"/>
    <n v="1.1000000000000001"/>
    <n v="303"/>
    <n v="37.47"/>
    <n v="37.47"/>
  </r>
  <r>
    <n v="27"/>
    <d v="2022-06-10T00:00:00"/>
    <x v="11"/>
    <n v="2087"/>
    <x v="0"/>
    <n v="290.06"/>
    <n v="20"/>
    <n v="5"/>
    <x v="1"/>
    <s v="Credit Card"/>
    <n v="4.0999999999999996"/>
    <n v="35"/>
    <n v="232.05"/>
    <n v="1160.25"/>
  </r>
  <r>
    <n v="28"/>
    <d v="2023-04-05T00:00:00"/>
    <x v="0"/>
    <n v="4557"/>
    <x v="2"/>
    <n v="191.67"/>
    <n v="10"/>
    <n v="5"/>
    <x v="1"/>
    <s v="Cash on Delivery"/>
    <n v="4.3"/>
    <n v="106"/>
    <n v="172.5"/>
    <n v="862.5"/>
  </r>
  <r>
    <n v="29"/>
    <d v="2022-11-10T00:00:00"/>
    <x v="7"/>
    <n v="1454"/>
    <x v="2"/>
    <n v="63.74"/>
    <n v="10"/>
    <n v="1"/>
    <x v="2"/>
    <s v="Cash on Delivery"/>
    <n v="4.0999999999999996"/>
    <n v="318"/>
    <n v="57.37"/>
    <n v="57.37"/>
  </r>
  <r>
    <n v="30"/>
    <d v="2022-01-22T00:00:00"/>
    <x v="4"/>
    <n v="4771"/>
    <x v="4"/>
    <n v="239.79"/>
    <n v="15"/>
    <n v="5"/>
    <x v="0"/>
    <s v="Credit Card"/>
    <n v="2.8"/>
    <n v="150"/>
    <n v="203.82"/>
    <n v="1019.1"/>
  </r>
  <r>
    <n v="31"/>
    <d v="2022-09-10T00:00:00"/>
    <x v="2"/>
    <n v="1726"/>
    <x v="1"/>
    <n v="256.57"/>
    <n v="20"/>
    <n v="2"/>
    <x v="0"/>
    <s v="Credit Card"/>
    <n v="3.6"/>
    <n v="269"/>
    <n v="205.26"/>
    <n v="410.52"/>
  </r>
  <r>
    <n v="32"/>
    <d v="2023-07-15T00:00:00"/>
    <x v="10"/>
    <n v="2432"/>
    <x v="2"/>
    <n v="394.76"/>
    <n v="10"/>
    <n v="3"/>
    <x v="0"/>
    <s v="UPI"/>
    <n v="3.7"/>
    <n v="382"/>
    <n v="355.28"/>
    <n v="1065.8399999999999"/>
  </r>
  <r>
    <n v="33"/>
    <d v="2023-04-20T00:00:00"/>
    <x v="0"/>
    <n v="1886"/>
    <x v="1"/>
    <n v="333.51"/>
    <n v="0"/>
    <n v="5"/>
    <x v="2"/>
    <s v="Wallet"/>
    <n v="4.0999999999999996"/>
    <n v="196"/>
    <n v="333.51"/>
    <n v="1667.55"/>
  </r>
  <r>
    <n v="34"/>
    <d v="2022-02-28T00:00:00"/>
    <x v="9"/>
    <n v="4053"/>
    <x v="4"/>
    <n v="235.65"/>
    <n v="5"/>
    <n v="3"/>
    <x v="0"/>
    <s v="Cash on Delivery"/>
    <n v="4.3"/>
    <n v="448"/>
    <n v="223.87"/>
    <n v="671.61"/>
  </r>
  <r>
    <n v="35"/>
    <d v="2023-05-26T00:00:00"/>
    <x v="5"/>
    <n v="3802"/>
    <x v="2"/>
    <n v="165.55"/>
    <n v="5"/>
    <n v="2"/>
    <x v="0"/>
    <s v="Wallet"/>
    <n v="5"/>
    <n v="149"/>
    <n v="157.27000000000001"/>
    <n v="314.54000000000002"/>
  </r>
  <r>
    <n v="36"/>
    <d v="2023-11-13T00:00:00"/>
    <x v="7"/>
    <n v="3197"/>
    <x v="4"/>
    <n v="5.99"/>
    <n v="20"/>
    <n v="2"/>
    <x v="0"/>
    <s v="UPI"/>
    <n v="4.5"/>
    <n v="89"/>
    <n v="4.79"/>
    <n v="9.58"/>
  </r>
  <r>
    <n v="37"/>
    <d v="2023-04-21T00:00:00"/>
    <x v="0"/>
    <n v="2525"/>
    <x v="0"/>
    <n v="416.86"/>
    <n v="10"/>
    <n v="3"/>
    <x v="2"/>
    <s v="Credit Card"/>
    <n v="1.9"/>
    <n v="484"/>
    <n v="375.17"/>
    <n v="1125.51"/>
  </r>
  <r>
    <n v="38"/>
    <d v="2023-12-01T00:00:00"/>
    <x v="3"/>
    <n v="1635"/>
    <x v="0"/>
    <n v="137.16"/>
    <n v="15"/>
    <n v="3"/>
    <x v="0"/>
    <s v="UPI"/>
    <n v="1.3"/>
    <n v="86"/>
    <n v="116.59"/>
    <n v="349.77"/>
  </r>
  <r>
    <n v="39"/>
    <d v="2022-07-09T00:00:00"/>
    <x v="10"/>
    <n v="4014"/>
    <x v="3"/>
    <n v="110.54"/>
    <n v="30"/>
    <n v="4"/>
    <x v="2"/>
    <s v="Credit Card"/>
    <n v="3.5"/>
    <n v="4"/>
    <n v="77.38"/>
    <n v="309.52"/>
  </r>
  <r>
    <n v="40"/>
    <d v="2023-11-18T00:00:00"/>
    <x v="7"/>
    <n v="3757"/>
    <x v="2"/>
    <n v="368.63"/>
    <n v="0"/>
    <n v="4"/>
    <x v="1"/>
    <s v="Debit Card"/>
    <n v="3.9"/>
    <n v="405"/>
    <n v="368.63"/>
    <n v="1474.52"/>
  </r>
  <r>
    <n v="41"/>
    <d v="2023-07-17T00:00:00"/>
    <x v="10"/>
    <n v="2571"/>
    <x v="0"/>
    <n v="40.47"/>
    <n v="15"/>
    <n v="1"/>
    <x v="3"/>
    <s v="Credit Card"/>
    <n v="3.7"/>
    <n v="418"/>
    <n v="34.4"/>
    <n v="34.4"/>
  </r>
  <r>
    <n v="42"/>
    <d v="2023-07-21T00:00:00"/>
    <x v="10"/>
    <n v="4885"/>
    <x v="0"/>
    <n v="135"/>
    <n v="30"/>
    <n v="5"/>
    <x v="2"/>
    <s v="Cash on Delivery"/>
    <n v="3.9"/>
    <n v="469"/>
    <n v="94.5"/>
    <n v="472.5"/>
  </r>
  <r>
    <n v="43"/>
    <d v="2022-09-01T00:00:00"/>
    <x v="2"/>
    <n v="3325"/>
    <x v="4"/>
    <n v="220.35"/>
    <n v="15"/>
    <n v="5"/>
    <x v="0"/>
    <s v="Cash on Delivery"/>
    <n v="3.1"/>
    <n v="146"/>
    <n v="187.3"/>
    <n v="936.5"/>
  </r>
  <r>
    <n v="44"/>
    <d v="2023-05-20T00:00:00"/>
    <x v="5"/>
    <n v="3082"/>
    <x v="5"/>
    <n v="223.58"/>
    <n v="5"/>
    <n v="3"/>
    <x v="3"/>
    <s v="Wallet"/>
    <n v="3.5"/>
    <n v="238"/>
    <n v="212.4"/>
    <n v="637.20000000000005"/>
  </r>
  <r>
    <n v="45"/>
    <d v="2022-05-11T00:00:00"/>
    <x v="5"/>
    <n v="4696"/>
    <x v="3"/>
    <n v="83.13"/>
    <n v="20"/>
    <n v="1"/>
    <x v="3"/>
    <s v="Wallet"/>
    <n v="2.6"/>
    <n v="71"/>
    <n v="66.5"/>
    <n v="66.5"/>
  </r>
  <r>
    <n v="46"/>
    <d v="2023-04-30T00:00:00"/>
    <x v="0"/>
    <n v="1174"/>
    <x v="3"/>
    <n v="24.86"/>
    <n v="5"/>
    <n v="5"/>
    <x v="3"/>
    <s v="Debit Card"/>
    <n v="4"/>
    <n v="224"/>
    <n v="23.62"/>
    <n v="118.1"/>
  </r>
  <r>
    <n v="47"/>
    <d v="2023-10-09T00:00:00"/>
    <x v="8"/>
    <n v="2056"/>
    <x v="1"/>
    <n v="237.91"/>
    <n v="20"/>
    <n v="3"/>
    <x v="0"/>
    <s v="Cash on Delivery"/>
    <n v="2.1"/>
    <n v="366"/>
    <n v="190.33"/>
    <n v="570.99"/>
  </r>
  <r>
    <n v="48"/>
    <d v="2022-01-21T00:00:00"/>
    <x v="4"/>
    <n v="2748"/>
    <x v="0"/>
    <n v="181.94"/>
    <n v="5"/>
    <n v="2"/>
    <x v="1"/>
    <s v="Credit Card"/>
    <n v="4.2"/>
    <n v="5"/>
    <n v="172.84"/>
    <n v="345.68"/>
  </r>
  <r>
    <n v="49"/>
    <d v="2022-06-16T00:00:00"/>
    <x v="11"/>
    <n v="3762"/>
    <x v="0"/>
    <n v="146"/>
    <n v="15"/>
    <n v="2"/>
    <x v="1"/>
    <s v="Debit Card"/>
    <n v="4.5"/>
    <n v="157"/>
    <n v="124.1"/>
    <n v="248.2"/>
  </r>
  <r>
    <n v="50"/>
    <d v="2022-10-01T00:00:00"/>
    <x v="8"/>
    <n v="4468"/>
    <x v="4"/>
    <n v="138.96"/>
    <n v="20"/>
    <n v="1"/>
    <x v="3"/>
    <s v="Cash on Delivery"/>
    <n v="3.4"/>
    <n v="451"/>
    <n v="111.17"/>
    <n v="111.17"/>
  </r>
  <r>
    <n v="51"/>
    <d v="2023-01-23T00:00:00"/>
    <x v="4"/>
    <n v="3301"/>
    <x v="0"/>
    <n v="254.57"/>
    <n v="15"/>
    <n v="3"/>
    <x v="3"/>
    <s v="Cash on Delivery"/>
    <n v="2.5"/>
    <n v="361"/>
    <n v="216.38"/>
    <n v="649.14"/>
  </r>
  <r>
    <n v="52"/>
    <d v="2023-08-24T00:00:00"/>
    <x v="6"/>
    <n v="1567"/>
    <x v="1"/>
    <n v="15.72"/>
    <n v="20"/>
    <n v="2"/>
    <x v="1"/>
    <s v="Debit Card"/>
    <n v="3.3"/>
    <n v="429"/>
    <n v="12.58"/>
    <n v="25.16"/>
  </r>
  <r>
    <n v="53"/>
    <d v="2022-11-12T00:00:00"/>
    <x v="7"/>
    <n v="1322"/>
    <x v="4"/>
    <n v="57.51"/>
    <n v="5"/>
    <n v="3"/>
    <x v="1"/>
    <s v="Cash on Delivery"/>
    <n v="2"/>
    <n v="178"/>
    <n v="54.63"/>
    <n v="163.89"/>
  </r>
  <r>
    <n v="54"/>
    <d v="2022-01-14T00:00:00"/>
    <x v="4"/>
    <n v="3060"/>
    <x v="3"/>
    <n v="165.98"/>
    <n v="5"/>
    <n v="1"/>
    <x v="1"/>
    <s v="UPI"/>
    <n v="3.6"/>
    <n v="348"/>
    <n v="157.68"/>
    <n v="157.68"/>
  </r>
  <r>
    <n v="55"/>
    <d v="2022-08-30T00:00:00"/>
    <x v="6"/>
    <n v="3097"/>
    <x v="0"/>
    <n v="242.51"/>
    <n v="5"/>
    <n v="2"/>
    <x v="1"/>
    <s v="Cash on Delivery"/>
    <n v="4.0999999999999996"/>
    <n v="201"/>
    <n v="230.38"/>
    <n v="460.76"/>
  </r>
  <r>
    <n v="56"/>
    <d v="2022-12-12T00:00:00"/>
    <x v="3"/>
    <n v="2783"/>
    <x v="0"/>
    <n v="348.44"/>
    <n v="20"/>
    <n v="4"/>
    <x v="0"/>
    <s v="Cash on Delivery"/>
    <n v="1.2"/>
    <n v="57"/>
    <n v="278.75"/>
    <n v="1115"/>
  </r>
  <r>
    <n v="57"/>
    <d v="2023-07-19T00:00:00"/>
    <x v="10"/>
    <n v="4304"/>
    <x v="1"/>
    <n v="150.09"/>
    <n v="10"/>
    <n v="4"/>
    <x v="2"/>
    <s v="Cash on Delivery"/>
    <n v="2.2999999999999998"/>
    <n v="363"/>
    <n v="135.08000000000001"/>
    <n v="540.32000000000005"/>
  </r>
  <r>
    <n v="58"/>
    <d v="2022-12-06T00:00:00"/>
    <x v="3"/>
    <n v="4000"/>
    <x v="2"/>
    <n v="335.19"/>
    <n v="0"/>
    <n v="4"/>
    <x v="3"/>
    <s v="Wallet"/>
    <n v="3.1"/>
    <n v="389"/>
    <n v="335.19"/>
    <n v="1340.76"/>
  </r>
  <r>
    <n v="59"/>
    <d v="2022-04-02T00:00:00"/>
    <x v="0"/>
    <n v="4041"/>
    <x v="1"/>
    <n v="196.64"/>
    <n v="20"/>
    <n v="2"/>
    <x v="1"/>
    <s v="Credit Card"/>
    <n v="2.1"/>
    <n v="206"/>
    <n v="157.31"/>
    <n v="314.62"/>
  </r>
  <r>
    <n v="60"/>
    <d v="2023-01-02T00:00:00"/>
    <x v="4"/>
    <n v="4611"/>
    <x v="4"/>
    <n v="388.49"/>
    <n v="20"/>
    <n v="5"/>
    <x v="0"/>
    <s v="Wallet"/>
    <n v="1.3"/>
    <n v="220"/>
    <n v="310.79000000000002"/>
    <n v="1553.95"/>
  </r>
  <r>
    <n v="61"/>
    <d v="2023-03-31T00:00:00"/>
    <x v="1"/>
    <n v="3663"/>
    <x v="3"/>
    <n v="242.91"/>
    <n v="10"/>
    <n v="2"/>
    <x v="1"/>
    <s v="Wallet"/>
    <n v="3.2"/>
    <n v="286"/>
    <n v="218.62"/>
    <n v="437.24"/>
  </r>
  <r>
    <n v="62"/>
    <d v="2023-03-04T00:00:00"/>
    <x v="1"/>
    <n v="3913"/>
    <x v="2"/>
    <n v="272.99"/>
    <n v="30"/>
    <n v="1"/>
    <x v="3"/>
    <s v="Cash on Delivery"/>
    <n v="4.5999999999999996"/>
    <n v="389"/>
    <n v="191.09"/>
    <n v="191.09"/>
  </r>
  <r>
    <n v="63"/>
    <d v="2023-05-24T00:00:00"/>
    <x v="5"/>
    <n v="3143"/>
    <x v="2"/>
    <n v="220.36"/>
    <n v="5"/>
    <n v="4"/>
    <x v="3"/>
    <s v="Cash on Delivery"/>
    <n v="3.9"/>
    <n v="208"/>
    <n v="209.34"/>
    <n v="837.36"/>
  </r>
  <r>
    <n v="64"/>
    <d v="2022-02-04T00:00:00"/>
    <x v="9"/>
    <n v="1342"/>
    <x v="1"/>
    <n v="70.78"/>
    <n v="15"/>
    <n v="1"/>
    <x v="2"/>
    <s v="UPI"/>
    <n v="2.4"/>
    <n v="486"/>
    <n v="60.16"/>
    <n v="60.16"/>
  </r>
  <r>
    <n v="65"/>
    <d v="2022-07-25T00:00:00"/>
    <x v="10"/>
    <n v="3903"/>
    <x v="1"/>
    <n v="89.73"/>
    <n v="0"/>
    <n v="5"/>
    <x v="1"/>
    <s v="Cash on Delivery"/>
    <n v="4.3"/>
    <n v="399"/>
    <n v="89.73"/>
    <n v="448.65"/>
  </r>
  <r>
    <n v="66"/>
    <d v="2022-03-22T00:00:00"/>
    <x v="1"/>
    <n v="3240"/>
    <x v="3"/>
    <n v="203.24"/>
    <n v="10"/>
    <n v="3"/>
    <x v="0"/>
    <s v="Wallet"/>
    <n v="4"/>
    <n v="412"/>
    <n v="182.92"/>
    <n v="548.76"/>
  </r>
  <r>
    <n v="67"/>
    <d v="2023-07-16T00:00:00"/>
    <x v="10"/>
    <n v="4991"/>
    <x v="5"/>
    <n v="53.92"/>
    <n v="15"/>
    <n v="1"/>
    <x v="0"/>
    <s v="UPI"/>
    <n v="2.1"/>
    <n v="286"/>
    <n v="45.83"/>
    <n v="45.83"/>
  </r>
  <r>
    <n v="68"/>
    <d v="2023-01-23T00:00:00"/>
    <x v="4"/>
    <n v="3558"/>
    <x v="4"/>
    <n v="74.39"/>
    <n v="15"/>
    <n v="3"/>
    <x v="3"/>
    <s v="Credit Card"/>
    <n v="5"/>
    <n v="384"/>
    <n v="63.23"/>
    <n v="189.69"/>
  </r>
  <r>
    <n v="69"/>
    <d v="2022-01-02T00:00:00"/>
    <x v="4"/>
    <n v="2474"/>
    <x v="2"/>
    <n v="313.75"/>
    <n v="20"/>
    <n v="2"/>
    <x v="1"/>
    <s v="Cash on Delivery"/>
    <n v="3.4"/>
    <n v="25"/>
    <n v="251"/>
    <n v="502"/>
  </r>
  <r>
    <n v="70"/>
    <d v="2023-01-25T00:00:00"/>
    <x v="4"/>
    <n v="2148"/>
    <x v="5"/>
    <n v="318.45"/>
    <n v="0"/>
    <n v="5"/>
    <x v="1"/>
    <s v="UPI"/>
    <n v="1.1000000000000001"/>
    <n v="337"/>
    <n v="318.45"/>
    <n v="1592.25"/>
  </r>
  <r>
    <n v="71"/>
    <d v="2023-07-20T00:00:00"/>
    <x v="10"/>
    <n v="4152"/>
    <x v="3"/>
    <n v="68.08"/>
    <n v="0"/>
    <n v="4"/>
    <x v="1"/>
    <s v="Cash on Delivery"/>
    <n v="4"/>
    <n v="0"/>
    <n v="68.08"/>
    <n v="272.32"/>
  </r>
  <r>
    <n v="72"/>
    <d v="2022-04-16T00:00:00"/>
    <x v="0"/>
    <n v="1006"/>
    <x v="2"/>
    <n v="427.64"/>
    <n v="0"/>
    <n v="4"/>
    <x v="3"/>
    <s v="Debit Card"/>
    <n v="3.5"/>
    <n v="178"/>
    <n v="427.64"/>
    <n v="1710.56"/>
  </r>
  <r>
    <n v="73"/>
    <d v="2023-04-22T00:00:00"/>
    <x v="0"/>
    <n v="1329"/>
    <x v="2"/>
    <n v="429.08"/>
    <n v="30"/>
    <n v="4"/>
    <x v="0"/>
    <s v="Credit Card"/>
    <n v="3.7"/>
    <n v="70"/>
    <n v="300.36"/>
    <n v="1201.44"/>
  </r>
  <r>
    <n v="74"/>
    <d v="2023-12-04T00:00:00"/>
    <x v="3"/>
    <n v="1082"/>
    <x v="0"/>
    <n v="192.97"/>
    <n v="10"/>
    <n v="1"/>
    <x v="0"/>
    <s v="Wallet"/>
    <n v="4.3"/>
    <n v="88"/>
    <n v="173.67"/>
    <n v="173.67"/>
  </r>
  <r>
    <n v="75"/>
    <d v="2023-02-06T00:00:00"/>
    <x v="9"/>
    <n v="2559"/>
    <x v="2"/>
    <n v="251.49"/>
    <n v="10"/>
    <n v="1"/>
    <x v="2"/>
    <s v="Cash on Delivery"/>
    <n v="1.7"/>
    <n v="212"/>
    <n v="226.34"/>
    <n v="226.34"/>
  </r>
  <r>
    <n v="76"/>
    <d v="2023-12-31T00:00:00"/>
    <x v="3"/>
    <n v="3952"/>
    <x v="4"/>
    <n v="401.77"/>
    <n v="20"/>
    <n v="2"/>
    <x v="0"/>
    <s v="UPI"/>
    <n v="4.5999999999999996"/>
    <n v="38"/>
    <n v="321.42"/>
    <n v="642.84"/>
  </r>
  <r>
    <n v="77"/>
    <d v="2023-07-10T00:00:00"/>
    <x v="10"/>
    <n v="3673"/>
    <x v="3"/>
    <n v="382.54"/>
    <n v="0"/>
    <n v="4"/>
    <x v="2"/>
    <s v="Cash on Delivery"/>
    <n v="3.7"/>
    <n v="92"/>
    <n v="382.54"/>
    <n v="1530.16"/>
  </r>
  <r>
    <n v="78"/>
    <d v="2022-06-11T00:00:00"/>
    <x v="11"/>
    <n v="1526"/>
    <x v="3"/>
    <n v="184.56"/>
    <n v="15"/>
    <n v="2"/>
    <x v="1"/>
    <s v="Credit Card"/>
    <n v="2.5"/>
    <n v="261"/>
    <n v="156.88"/>
    <n v="313.76"/>
  </r>
  <r>
    <n v="79"/>
    <d v="2022-07-21T00:00:00"/>
    <x v="10"/>
    <n v="2136"/>
    <x v="2"/>
    <n v="161.96"/>
    <n v="5"/>
    <n v="5"/>
    <x v="3"/>
    <s v="Cash on Delivery"/>
    <n v="2.2000000000000002"/>
    <n v="3"/>
    <n v="153.86000000000001"/>
    <n v="769.3"/>
  </r>
  <r>
    <n v="80"/>
    <d v="2022-09-27T00:00:00"/>
    <x v="2"/>
    <n v="3487"/>
    <x v="4"/>
    <n v="333.85"/>
    <n v="20"/>
    <n v="3"/>
    <x v="3"/>
    <s v="Cash on Delivery"/>
    <n v="1.2"/>
    <n v="405"/>
    <n v="267.08"/>
    <n v="801.24"/>
  </r>
  <r>
    <n v="81"/>
    <d v="2022-09-28T00:00:00"/>
    <x v="2"/>
    <n v="1889"/>
    <x v="5"/>
    <n v="184.94"/>
    <n v="5"/>
    <n v="2"/>
    <x v="0"/>
    <s v="Wallet"/>
    <n v="3.9"/>
    <n v="479"/>
    <n v="175.69"/>
    <n v="351.38"/>
  </r>
  <r>
    <n v="82"/>
    <d v="2023-04-01T00:00:00"/>
    <x v="0"/>
    <n v="4925"/>
    <x v="0"/>
    <n v="346.28"/>
    <n v="5"/>
    <n v="4"/>
    <x v="2"/>
    <s v="Cash on Delivery"/>
    <n v="4.2"/>
    <n v="477"/>
    <n v="328.97"/>
    <n v="1315.88"/>
  </r>
  <r>
    <n v="83"/>
    <d v="2023-04-07T00:00:00"/>
    <x v="0"/>
    <n v="1761"/>
    <x v="5"/>
    <n v="69.16"/>
    <n v="20"/>
    <n v="1"/>
    <x v="0"/>
    <s v="Credit Card"/>
    <n v="3"/>
    <n v="492"/>
    <n v="55.33"/>
    <n v="55.33"/>
  </r>
  <r>
    <n v="84"/>
    <d v="2023-12-28T00:00:00"/>
    <x v="3"/>
    <n v="2023"/>
    <x v="1"/>
    <n v="337.66"/>
    <n v="0"/>
    <n v="2"/>
    <x v="1"/>
    <s v="Cash on Delivery"/>
    <n v="2.6"/>
    <n v="316"/>
    <n v="337.66"/>
    <n v="675.32"/>
  </r>
  <r>
    <n v="85"/>
    <d v="2022-09-09T00:00:00"/>
    <x v="2"/>
    <n v="2680"/>
    <x v="5"/>
    <n v="393.65"/>
    <n v="10"/>
    <n v="3"/>
    <x v="3"/>
    <s v="Cash on Delivery"/>
    <n v="1.2"/>
    <n v="112"/>
    <n v="354.28"/>
    <n v="1062.8399999999999"/>
  </r>
  <r>
    <n v="86"/>
    <d v="2023-12-03T00:00:00"/>
    <x v="3"/>
    <n v="3066"/>
    <x v="1"/>
    <n v="452.78"/>
    <n v="20"/>
    <n v="5"/>
    <x v="0"/>
    <s v="UPI"/>
    <n v="2.4"/>
    <n v="102"/>
    <n v="362.22"/>
    <n v="1811.1"/>
  </r>
  <r>
    <n v="87"/>
    <d v="2022-10-23T00:00:00"/>
    <x v="8"/>
    <n v="3056"/>
    <x v="4"/>
    <n v="230.81"/>
    <n v="15"/>
    <n v="2"/>
    <x v="3"/>
    <s v="Credit Card"/>
    <n v="4.7"/>
    <n v="313"/>
    <n v="196.19"/>
    <n v="392.38"/>
  </r>
  <r>
    <n v="88"/>
    <d v="2023-12-26T00:00:00"/>
    <x v="3"/>
    <n v="2855"/>
    <x v="2"/>
    <n v="282.35000000000002"/>
    <n v="15"/>
    <n v="2"/>
    <x v="0"/>
    <s v="Credit Card"/>
    <n v="2.5"/>
    <n v="3"/>
    <n v="240"/>
    <n v="480"/>
  </r>
  <r>
    <n v="89"/>
    <d v="2023-12-21T00:00:00"/>
    <x v="3"/>
    <n v="4256"/>
    <x v="1"/>
    <n v="148.01"/>
    <n v="20"/>
    <n v="2"/>
    <x v="1"/>
    <s v="UPI"/>
    <n v="3.2"/>
    <n v="295"/>
    <n v="118.41"/>
    <n v="236.82"/>
  </r>
  <r>
    <n v="90"/>
    <d v="2022-12-04T00:00:00"/>
    <x v="3"/>
    <n v="2061"/>
    <x v="3"/>
    <n v="79.489999999999995"/>
    <n v="20"/>
    <n v="3"/>
    <x v="3"/>
    <s v="Wallet"/>
    <n v="4.4000000000000004"/>
    <n v="472"/>
    <n v="63.59"/>
    <n v="190.77"/>
  </r>
  <r>
    <n v="91"/>
    <d v="2022-02-22T00:00:00"/>
    <x v="9"/>
    <n v="3770"/>
    <x v="2"/>
    <n v="90.69"/>
    <n v="30"/>
    <n v="5"/>
    <x v="0"/>
    <s v="Wallet"/>
    <n v="3.1"/>
    <n v="376"/>
    <n v="63.48"/>
    <n v="317.39999999999998"/>
  </r>
  <r>
    <n v="92"/>
    <d v="2022-08-05T00:00:00"/>
    <x v="6"/>
    <n v="1903"/>
    <x v="2"/>
    <n v="423.06"/>
    <n v="30"/>
    <n v="5"/>
    <x v="2"/>
    <s v="UPI"/>
    <n v="2"/>
    <n v="312"/>
    <n v="296.14"/>
    <n v="1480.7"/>
  </r>
  <r>
    <n v="93"/>
    <d v="2022-07-07T00:00:00"/>
    <x v="10"/>
    <n v="1133"/>
    <x v="2"/>
    <n v="273.02999999999997"/>
    <n v="5"/>
    <n v="4"/>
    <x v="0"/>
    <s v="Debit Card"/>
    <n v="3"/>
    <n v="361"/>
    <n v="259.38"/>
    <n v="1037.52"/>
  </r>
  <r>
    <n v="94"/>
    <d v="2023-01-15T00:00:00"/>
    <x v="4"/>
    <n v="2968"/>
    <x v="1"/>
    <n v="191.27"/>
    <n v="10"/>
    <n v="2"/>
    <x v="2"/>
    <s v="Cash on Delivery"/>
    <n v="1.5"/>
    <n v="294"/>
    <n v="172.14"/>
    <n v="344.28"/>
  </r>
  <r>
    <n v="95"/>
    <d v="2023-05-08T00:00:00"/>
    <x v="5"/>
    <n v="2125"/>
    <x v="3"/>
    <n v="432.66"/>
    <n v="0"/>
    <n v="4"/>
    <x v="3"/>
    <s v="Wallet"/>
    <n v="3.4"/>
    <n v="252"/>
    <n v="432.66"/>
    <n v="1730.64"/>
  </r>
  <r>
    <n v="96"/>
    <d v="2022-02-10T00:00:00"/>
    <x v="9"/>
    <n v="2964"/>
    <x v="3"/>
    <n v="61.33"/>
    <n v="15"/>
    <n v="3"/>
    <x v="3"/>
    <s v="Credit Card"/>
    <n v="4.0999999999999996"/>
    <n v="418"/>
    <n v="52.13"/>
    <n v="156.38999999999999"/>
  </r>
  <r>
    <n v="97"/>
    <d v="2022-06-06T00:00:00"/>
    <x v="11"/>
    <n v="2172"/>
    <x v="5"/>
    <n v="299.14"/>
    <n v="30"/>
    <n v="5"/>
    <x v="2"/>
    <s v="Credit Card"/>
    <n v="1.9"/>
    <n v="223"/>
    <n v="209.4"/>
    <n v="1047"/>
  </r>
  <r>
    <n v="98"/>
    <d v="2022-01-15T00:00:00"/>
    <x v="4"/>
    <n v="3039"/>
    <x v="2"/>
    <n v="396.42"/>
    <n v="10"/>
    <n v="3"/>
    <x v="0"/>
    <s v="UPI"/>
    <n v="2.2000000000000002"/>
    <n v="213"/>
    <n v="356.78"/>
    <n v="1070.3399999999999"/>
  </r>
  <r>
    <n v="99"/>
    <d v="2022-03-06T00:00:00"/>
    <x v="1"/>
    <n v="1092"/>
    <x v="2"/>
    <n v="66.83"/>
    <n v="30"/>
    <n v="3"/>
    <x v="3"/>
    <s v="Debit Card"/>
    <n v="4.5999999999999996"/>
    <n v="54"/>
    <n v="46.78"/>
    <n v="140.34"/>
  </r>
  <r>
    <n v="100"/>
    <d v="2023-06-05T00:00:00"/>
    <x v="11"/>
    <n v="3849"/>
    <x v="0"/>
    <n v="64.67"/>
    <n v="5"/>
    <n v="2"/>
    <x v="0"/>
    <s v="Cash on Delivery"/>
    <n v="4.3"/>
    <n v="438"/>
    <n v="61.44"/>
    <n v="122.88"/>
  </r>
  <r>
    <n v="101"/>
    <d v="2022-12-10T00:00:00"/>
    <x v="3"/>
    <n v="4211"/>
    <x v="2"/>
    <n v="21.52"/>
    <n v="10"/>
    <n v="1"/>
    <x v="1"/>
    <s v="UPI"/>
    <n v="1.1000000000000001"/>
    <n v="300"/>
    <n v="19.37"/>
    <n v="19.37"/>
  </r>
  <r>
    <n v="102"/>
    <d v="2022-05-09T00:00:00"/>
    <x v="5"/>
    <n v="4366"/>
    <x v="5"/>
    <n v="471.27"/>
    <n v="0"/>
    <n v="3"/>
    <x v="2"/>
    <s v="UPI"/>
    <n v="1.7"/>
    <n v="178"/>
    <n v="471.27"/>
    <n v="1413.81"/>
  </r>
  <r>
    <n v="103"/>
    <d v="2023-10-10T00:00:00"/>
    <x v="8"/>
    <n v="3911"/>
    <x v="5"/>
    <n v="347.63"/>
    <n v="20"/>
    <n v="5"/>
    <x v="2"/>
    <s v="Wallet"/>
    <n v="1.2"/>
    <n v="19"/>
    <n v="278.10000000000002"/>
    <n v="1390.5"/>
  </r>
  <r>
    <n v="104"/>
    <d v="2023-04-17T00:00:00"/>
    <x v="0"/>
    <n v="1773"/>
    <x v="3"/>
    <n v="40.36"/>
    <n v="20"/>
    <n v="2"/>
    <x v="3"/>
    <s v="Debit Card"/>
    <n v="1.1000000000000001"/>
    <n v="322"/>
    <n v="32.29"/>
    <n v="64.58"/>
  </r>
  <r>
    <n v="105"/>
    <d v="2022-03-04T00:00:00"/>
    <x v="1"/>
    <n v="4664"/>
    <x v="0"/>
    <n v="337.27"/>
    <n v="20"/>
    <n v="2"/>
    <x v="3"/>
    <s v="UPI"/>
    <n v="3.9"/>
    <n v="107"/>
    <n v="269.82"/>
    <n v="539.64"/>
  </r>
  <r>
    <n v="106"/>
    <d v="2022-05-19T00:00:00"/>
    <x v="5"/>
    <n v="3591"/>
    <x v="3"/>
    <n v="155.29"/>
    <n v="5"/>
    <n v="2"/>
    <x v="3"/>
    <s v="Wallet"/>
    <n v="3.5"/>
    <n v="249"/>
    <n v="147.53"/>
    <n v="295.06"/>
  </r>
  <r>
    <n v="107"/>
    <d v="2023-05-14T00:00:00"/>
    <x v="5"/>
    <n v="1187"/>
    <x v="2"/>
    <n v="59.12"/>
    <n v="0"/>
    <n v="4"/>
    <x v="3"/>
    <s v="Debit Card"/>
    <n v="3.4"/>
    <n v="433"/>
    <n v="59.12"/>
    <n v="236.48"/>
  </r>
  <r>
    <n v="108"/>
    <d v="2023-08-16T00:00:00"/>
    <x v="6"/>
    <n v="3183"/>
    <x v="0"/>
    <n v="496.15"/>
    <n v="10"/>
    <n v="3"/>
    <x v="0"/>
    <s v="Cash on Delivery"/>
    <n v="2"/>
    <n v="422"/>
    <n v="446.54"/>
    <n v="1339.62"/>
  </r>
  <r>
    <n v="109"/>
    <d v="2023-01-27T00:00:00"/>
    <x v="4"/>
    <n v="1165"/>
    <x v="1"/>
    <n v="94.04"/>
    <n v="15"/>
    <n v="5"/>
    <x v="3"/>
    <s v="Debit Card"/>
    <n v="2.8"/>
    <n v="200"/>
    <n v="79.930000000000007"/>
    <n v="399.65"/>
  </r>
  <r>
    <n v="110"/>
    <d v="2023-11-06T00:00:00"/>
    <x v="7"/>
    <n v="4548"/>
    <x v="3"/>
    <n v="400.28"/>
    <n v="5"/>
    <n v="2"/>
    <x v="3"/>
    <s v="Cash on Delivery"/>
    <n v="3.9"/>
    <n v="328"/>
    <n v="380.27"/>
    <n v="760.54"/>
  </r>
  <r>
    <n v="111"/>
    <d v="2023-02-23T00:00:00"/>
    <x v="9"/>
    <n v="4038"/>
    <x v="5"/>
    <n v="441.29"/>
    <n v="0"/>
    <n v="3"/>
    <x v="2"/>
    <s v="Cash on Delivery"/>
    <n v="3"/>
    <n v="447"/>
    <n v="441.29"/>
    <n v="1323.87"/>
  </r>
  <r>
    <n v="112"/>
    <d v="2022-10-16T00:00:00"/>
    <x v="8"/>
    <n v="4218"/>
    <x v="3"/>
    <n v="267.51"/>
    <n v="15"/>
    <n v="3"/>
    <x v="0"/>
    <s v="Debit Card"/>
    <n v="1.3"/>
    <n v="358"/>
    <n v="227.38"/>
    <n v="682.14"/>
  </r>
  <r>
    <n v="113"/>
    <d v="2023-01-14T00:00:00"/>
    <x v="4"/>
    <n v="1244"/>
    <x v="4"/>
    <n v="488.12"/>
    <n v="20"/>
    <n v="2"/>
    <x v="0"/>
    <s v="Debit Card"/>
    <n v="4.3"/>
    <n v="120"/>
    <n v="390.5"/>
    <n v="781"/>
  </r>
  <r>
    <n v="114"/>
    <d v="2023-05-05T00:00:00"/>
    <x v="5"/>
    <n v="2206"/>
    <x v="4"/>
    <n v="64.33"/>
    <n v="0"/>
    <n v="1"/>
    <x v="2"/>
    <s v="Debit Card"/>
    <n v="3.2"/>
    <n v="91"/>
    <n v="64.33"/>
    <n v="64.33"/>
  </r>
  <r>
    <n v="115"/>
    <d v="2022-08-19T00:00:00"/>
    <x v="6"/>
    <n v="2032"/>
    <x v="4"/>
    <n v="480.63"/>
    <n v="10"/>
    <n v="4"/>
    <x v="3"/>
    <s v="Debit Card"/>
    <n v="4.8"/>
    <n v="176"/>
    <n v="432.57"/>
    <n v="1730.28"/>
  </r>
  <r>
    <n v="116"/>
    <d v="2022-02-10T00:00:00"/>
    <x v="9"/>
    <n v="2459"/>
    <x v="5"/>
    <n v="39.979999999999997"/>
    <n v="5"/>
    <n v="2"/>
    <x v="0"/>
    <s v="Credit Card"/>
    <n v="1.6"/>
    <n v="216"/>
    <n v="37.979999999999997"/>
    <n v="75.959999999999994"/>
  </r>
  <r>
    <n v="117"/>
    <d v="2022-01-28T00:00:00"/>
    <x v="4"/>
    <n v="2179"/>
    <x v="5"/>
    <n v="241.28"/>
    <n v="0"/>
    <n v="1"/>
    <x v="3"/>
    <s v="Credit Card"/>
    <n v="1.1000000000000001"/>
    <n v="456"/>
    <n v="241.28"/>
    <n v="241.28"/>
  </r>
  <r>
    <n v="118"/>
    <d v="2022-05-15T00:00:00"/>
    <x v="5"/>
    <n v="1829"/>
    <x v="4"/>
    <n v="428.24"/>
    <n v="30"/>
    <n v="5"/>
    <x v="3"/>
    <s v="Credit Card"/>
    <n v="4.3"/>
    <n v="110"/>
    <n v="299.77"/>
    <n v="1498.85"/>
  </r>
  <r>
    <n v="119"/>
    <d v="2022-07-20T00:00:00"/>
    <x v="10"/>
    <n v="3735"/>
    <x v="2"/>
    <n v="278.83"/>
    <n v="20"/>
    <n v="1"/>
    <x v="2"/>
    <s v="Credit Card"/>
    <n v="4.3"/>
    <n v="172"/>
    <n v="223.06"/>
    <n v="223.06"/>
  </r>
  <r>
    <n v="120"/>
    <d v="2022-02-02T00:00:00"/>
    <x v="9"/>
    <n v="3161"/>
    <x v="5"/>
    <n v="293.81"/>
    <n v="30"/>
    <n v="4"/>
    <x v="0"/>
    <s v="UPI"/>
    <n v="1.5"/>
    <n v="342"/>
    <n v="205.67"/>
    <n v="822.68"/>
  </r>
  <r>
    <n v="121"/>
    <d v="2022-02-17T00:00:00"/>
    <x v="9"/>
    <n v="2778"/>
    <x v="2"/>
    <n v="84.69"/>
    <n v="5"/>
    <n v="3"/>
    <x v="0"/>
    <s v="UPI"/>
    <n v="4.4000000000000004"/>
    <n v="173"/>
    <n v="80.459999999999994"/>
    <n v="241.38"/>
  </r>
  <r>
    <n v="122"/>
    <d v="2023-05-18T00:00:00"/>
    <x v="5"/>
    <n v="3214"/>
    <x v="5"/>
    <n v="492.25"/>
    <n v="15"/>
    <n v="2"/>
    <x v="1"/>
    <s v="Cash on Delivery"/>
    <n v="3"/>
    <n v="364"/>
    <n v="418.41"/>
    <n v="836.82"/>
  </r>
  <r>
    <n v="123"/>
    <d v="2023-02-11T00:00:00"/>
    <x v="9"/>
    <n v="3535"/>
    <x v="5"/>
    <n v="119.41"/>
    <n v="20"/>
    <n v="4"/>
    <x v="1"/>
    <s v="Cash on Delivery"/>
    <n v="1.9"/>
    <n v="328"/>
    <n v="95.53"/>
    <n v="382.12"/>
  </r>
  <r>
    <n v="124"/>
    <d v="2023-07-28T00:00:00"/>
    <x v="10"/>
    <n v="1436"/>
    <x v="4"/>
    <n v="430.17"/>
    <n v="15"/>
    <n v="1"/>
    <x v="1"/>
    <s v="Wallet"/>
    <n v="1.2"/>
    <n v="172"/>
    <n v="365.64"/>
    <n v="365.64"/>
  </r>
  <r>
    <n v="125"/>
    <d v="2023-12-29T00:00:00"/>
    <x v="3"/>
    <n v="3270"/>
    <x v="1"/>
    <n v="478.5"/>
    <n v="20"/>
    <n v="4"/>
    <x v="0"/>
    <s v="Credit Card"/>
    <n v="1.8"/>
    <n v="26"/>
    <n v="382.8"/>
    <n v="1531.2"/>
  </r>
  <r>
    <n v="126"/>
    <d v="2022-04-09T00:00:00"/>
    <x v="0"/>
    <n v="3238"/>
    <x v="2"/>
    <n v="143.99"/>
    <n v="10"/>
    <n v="4"/>
    <x v="3"/>
    <s v="UPI"/>
    <n v="4.4000000000000004"/>
    <n v="278"/>
    <n v="129.59"/>
    <n v="518.36"/>
  </r>
  <r>
    <n v="127"/>
    <d v="2023-11-15T00:00:00"/>
    <x v="7"/>
    <n v="2810"/>
    <x v="2"/>
    <n v="366.6"/>
    <n v="5"/>
    <n v="3"/>
    <x v="0"/>
    <s v="Cash on Delivery"/>
    <n v="4"/>
    <n v="346"/>
    <n v="348.27"/>
    <n v="1044.81"/>
  </r>
  <r>
    <n v="128"/>
    <d v="2023-12-27T00:00:00"/>
    <x v="3"/>
    <n v="2824"/>
    <x v="1"/>
    <n v="44.79"/>
    <n v="0"/>
    <n v="3"/>
    <x v="0"/>
    <s v="Debit Card"/>
    <n v="4.5"/>
    <n v="176"/>
    <n v="44.79"/>
    <n v="134.37"/>
  </r>
  <r>
    <n v="129"/>
    <d v="2023-07-01T00:00:00"/>
    <x v="10"/>
    <n v="3623"/>
    <x v="0"/>
    <n v="372.02"/>
    <n v="15"/>
    <n v="1"/>
    <x v="2"/>
    <s v="Wallet"/>
    <n v="5"/>
    <n v="354"/>
    <n v="316.22000000000003"/>
    <n v="316.22000000000003"/>
  </r>
  <r>
    <n v="130"/>
    <d v="2023-09-05T00:00:00"/>
    <x v="2"/>
    <n v="1793"/>
    <x v="3"/>
    <n v="244.75"/>
    <n v="15"/>
    <n v="3"/>
    <x v="3"/>
    <s v="Credit Card"/>
    <n v="4.5"/>
    <n v="276"/>
    <n v="208.04"/>
    <n v="624.12"/>
  </r>
  <r>
    <n v="131"/>
    <d v="2023-04-07T00:00:00"/>
    <x v="0"/>
    <n v="1172"/>
    <x v="1"/>
    <n v="63.38"/>
    <n v="15"/>
    <n v="1"/>
    <x v="3"/>
    <s v="Debit Card"/>
    <n v="4.7"/>
    <n v="1"/>
    <n v="53.87"/>
    <n v="53.87"/>
  </r>
  <r>
    <n v="132"/>
    <d v="2023-10-05T00:00:00"/>
    <x v="8"/>
    <n v="2280"/>
    <x v="0"/>
    <n v="447.85"/>
    <n v="10"/>
    <n v="3"/>
    <x v="3"/>
    <s v="Wallet"/>
    <n v="4.7"/>
    <n v="399"/>
    <n v="403.07"/>
    <n v="1209.21"/>
  </r>
  <r>
    <n v="133"/>
    <d v="2022-01-05T00:00:00"/>
    <x v="4"/>
    <n v="2738"/>
    <x v="1"/>
    <n v="341.04"/>
    <n v="10"/>
    <n v="4"/>
    <x v="3"/>
    <s v="Credit Card"/>
    <n v="2.2000000000000002"/>
    <n v="203"/>
    <n v="306.94"/>
    <n v="1227.76"/>
  </r>
  <r>
    <n v="134"/>
    <d v="2022-08-06T00:00:00"/>
    <x v="6"/>
    <n v="1449"/>
    <x v="4"/>
    <n v="88.45"/>
    <n v="30"/>
    <n v="1"/>
    <x v="1"/>
    <s v="Credit Card"/>
    <n v="2.4"/>
    <n v="397"/>
    <n v="61.92"/>
    <n v="61.92"/>
  </r>
  <r>
    <n v="135"/>
    <d v="2023-05-18T00:00:00"/>
    <x v="5"/>
    <n v="4572"/>
    <x v="0"/>
    <n v="268.74"/>
    <n v="10"/>
    <n v="1"/>
    <x v="3"/>
    <s v="UPI"/>
    <n v="3.4"/>
    <n v="115"/>
    <n v="241.87"/>
    <n v="241.87"/>
  </r>
  <r>
    <n v="136"/>
    <d v="2023-02-02T00:00:00"/>
    <x v="9"/>
    <n v="2954"/>
    <x v="4"/>
    <n v="166.31"/>
    <n v="20"/>
    <n v="1"/>
    <x v="2"/>
    <s v="Cash on Delivery"/>
    <n v="2"/>
    <n v="391"/>
    <n v="133.05000000000001"/>
    <n v="133.05000000000001"/>
  </r>
  <r>
    <n v="137"/>
    <d v="2023-01-28T00:00:00"/>
    <x v="4"/>
    <n v="3124"/>
    <x v="4"/>
    <n v="356.73"/>
    <n v="30"/>
    <n v="1"/>
    <x v="0"/>
    <s v="Credit Card"/>
    <n v="2"/>
    <n v="25"/>
    <n v="249.71"/>
    <n v="249.71"/>
  </r>
  <r>
    <n v="138"/>
    <d v="2022-07-26T00:00:00"/>
    <x v="10"/>
    <n v="1614"/>
    <x v="0"/>
    <n v="315.58999999999997"/>
    <n v="30"/>
    <n v="2"/>
    <x v="0"/>
    <s v="Wallet"/>
    <n v="3.9"/>
    <n v="311"/>
    <n v="220.91"/>
    <n v="441.82"/>
  </r>
  <r>
    <n v="139"/>
    <d v="2022-01-15T00:00:00"/>
    <x v="4"/>
    <n v="1225"/>
    <x v="2"/>
    <n v="98.82"/>
    <n v="10"/>
    <n v="1"/>
    <x v="2"/>
    <s v="UPI"/>
    <n v="2"/>
    <n v="442"/>
    <n v="88.94"/>
    <n v="88.94"/>
  </r>
  <r>
    <n v="140"/>
    <d v="2023-07-08T00:00:00"/>
    <x v="10"/>
    <n v="4297"/>
    <x v="2"/>
    <n v="124.85"/>
    <n v="30"/>
    <n v="5"/>
    <x v="0"/>
    <s v="Debit Card"/>
    <n v="3.7"/>
    <n v="248"/>
    <n v="87.4"/>
    <n v="437"/>
  </r>
  <r>
    <n v="141"/>
    <d v="2023-04-06T00:00:00"/>
    <x v="0"/>
    <n v="1738"/>
    <x v="0"/>
    <n v="353.75"/>
    <n v="30"/>
    <n v="1"/>
    <x v="1"/>
    <s v="Cash on Delivery"/>
    <n v="4.5999999999999996"/>
    <n v="25"/>
    <n v="247.62"/>
    <n v="247.62"/>
  </r>
  <r>
    <n v="142"/>
    <d v="2023-11-22T00:00:00"/>
    <x v="7"/>
    <n v="2631"/>
    <x v="1"/>
    <n v="339.21"/>
    <n v="5"/>
    <n v="3"/>
    <x v="3"/>
    <s v="Wallet"/>
    <n v="1.4"/>
    <n v="330"/>
    <n v="322.25"/>
    <n v="966.75"/>
  </r>
  <r>
    <n v="143"/>
    <d v="2023-07-29T00:00:00"/>
    <x v="10"/>
    <n v="1940"/>
    <x v="1"/>
    <n v="159.56"/>
    <n v="5"/>
    <n v="4"/>
    <x v="0"/>
    <s v="Debit Card"/>
    <n v="3"/>
    <n v="482"/>
    <n v="151.58000000000001"/>
    <n v="606.32000000000005"/>
  </r>
  <r>
    <n v="144"/>
    <d v="2022-08-29T00:00:00"/>
    <x v="6"/>
    <n v="1075"/>
    <x v="3"/>
    <n v="241.73"/>
    <n v="30"/>
    <n v="3"/>
    <x v="1"/>
    <s v="Wallet"/>
    <n v="3.6"/>
    <n v="364"/>
    <n v="169.21"/>
    <n v="507.63"/>
  </r>
  <r>
    <n v="145"/>
    <d v="2023-07-18T00:00:00"/>
    <x v="10"/>
    <n v="4104"/>
    <x v="1"/>
    <n v="236.26"/>
    <n v="20"/>
    <n v="5"/>
    <x v="1"/>
    <s v="UPI"/>
    <n v="1.5"/>
    <n v="117"/>
    <n v="189.01"/>
    <n v="945.05"/>
  </r>
  <r>
    <n v="146"/>
    <d v="2022-04-06T00:00:00"/>
    <x v="0"/>
    <n v="4665"/>
    <x v="2"/>
    <n v="66.599999999999994"/>
    <n v="15"/>
    <n v="2"/>
    <x v="2"/>
    <s v="UPI"/>
    <n v="1.6"/>
    <n v="390"/>
    <n v="56.61"/>
    <n v="113.22"/>
  </r>
  <r>
    <n v="147"/>
    <d v="2023-04-30T00:00:00"/>
    <x v="0"/>
    <n v="1068"/>
    <x v="0"/>
    <n v="312.42"/>
    <n v="10"/>
    <n v="3"/>
    <x v="3"/>
    <s v="UPI"/>
    <n v="1.4"/>
    <n v="213"/>
    <n v="281.18"/>
    <n v="843.54"/>
  </r>
  <r>
    <n v="148"/>
    <d v="2023-02-11T00:00:00"/>
    <x v="9"/>
    <n v="2874"/>
    <x v="1"/>
    <n v="135.9"/>
    <n v="10"/>
    <n v="4"/>
    <x v="2"/>
    <s v="Debit Card"/>
    <n v="4.4000000000000004"/>
    <n v="302"/>
    <n v="122.31"/>
    <n v="489.24"/>
  </r>
  <r>
    <n v="149"/>
    <d v="2022-08-19T00:00:00"/>
    <x v="6"/>
    <n v="3462"/>
    <x v="0"/>
    <n v="232.65"/>
    <n v="10"/>
    <n v="4"/>
    <x v="3"/>
    <s v="Debit Card"/>
    <n v="1.8"/>
    <n v="125"/>
    <n v="209.39"/>
    <n v="837.56"/>
  </r>
  <r>
    <n v="150"/>
    <d v="2023-10-17T00:00:00"/>
    <x v="8"/>
    <n v="3778"/>
    <x v="3"/>
    <n v="40.520000000000003"/>
    <n v="15"/>
    <n v="4"/>
    <x v="2"/>
    <s v="Credit Card"/>
    <n v="3.3"/>
    <n v="232"/>
    <n v="34.44"/>
    <n v="137.76"/>
  </r>
  <r>
    <n v="151"/>
    <d v="2022-06-20T00:00:00"/>
    <x v="11"/>
    <n v="4519"/>
    <x v="0"/>
    <n v="308.95"/>
    <n v="5"/>
    <n v="5"/>
    <x v="1"/>
    <s v="Credit Card"/>
    <n v="3.5"/>
    <n v="100"/>
    <n v="293.5"/>
    <n v="1467.5"/>
  </r>
  <r>
    <n v="152"/>
    <d v="2023-06-25T00:00:00"/>
    <x v="11"/>
    <n v="3409"/>
    <x v="3"/>
    <n v="420.6"/>
    <n v="15"/>
    <n v="1"/>
    <x v="3"/>
    <s v="Debit Card"/>
    <n v="3.5"/>
    <n v="263"/>
    <n v="357.51"/>
    <n v="357.51"/>
  </r>
  <r>
    <n v="153"/>
    <d v="2022-02-05T00:00:00"/>
    <x v="9"/>
    <n v="1869"/>
    <x v="3"/>
    <n v="286.95"/>
    <n v="5"/>
    <n v="2"/>
    <x v="3"/>
    <s v="UPI"/>
    <n v="3.7"/>
    <n v="217"/>
    <n v="272.60000000000002"/>
    <n v="545.20000000000005"/>
  </r>
  <r>
    <n v="154"/>
    <d v="2023-06-09T00:00:00"/>
    <x v="11"/>
    <n v="2393"/>
    <x v="3"/>
    <n v="300.42"/>
    <n v="15"/>
    <n v="5"/>
    <x v="1"/>
    <s v="Debit Card"/>
    <n v="2.6"/>
    <n v="7"/>
    <n v="255.36"/>
    <n v="1276.8"/>
  </r>
  <r>
    <n v="155"/>
    <d v="2022-06-09T00:00:00"/>
    <x v="11"/>
    <n v="4470"/>
    <x v="4"/>
    <n v="338.29"/>
    <n v="20"/>
    <n v="5"/>
    <x v="2"/>
    <s v="Credit Card"/>
    <n v="2"/>
    <n v="291"/>
    <n v="270.63"/>
    <n v="1353.15"/>
  </r>
  <r>
    <n v="156"/>
    <d v="2023-11-30T00:00:00"/>
    <x v="7"/>
    <n v="2837"/>
    <x v="2"/>
    <n v="102.19"/>
    <n v="15"/>
    <n v="5"/>
    <x v="0"/>
    <s v="Credit Card"/>
    <n v="1.9"/>
    <n v="435"/>
    <n v="86.86"/>
    <n v="434.3"/>
  </r>
  <r>
    <n v="157"/>
    <d v="2022-08-31T00:00:00"/>
    <x v="6"/>
    <n v="4191"/>
    <x v="5"/>
    <n v="39.049999999999997"/>
    <n v="30"/>
    <n v="4"/>
    <x v="1"/>
    <s v="Credit Card"/>
    <n v="1.4"/>
    <n v="374"/>
    <n v="27.33"/>
    <n v="109.32"/>
  </r>
  <r>
    <n v="158"/>
    <d v="2022-03-27T00:00:00"/>
    <x v="1"/>
    <n v="4119"/>
    <x v="2"/>
    <n v="427.73"/>
    <n v="30"/>
    <n v="3"/>
    <x v="2"/>
    <s v="Cash on Delivery"/>
    <n v="3.2"/>
    <n v="459"/>
    <n v="299.41000000000003"/>
    <n v="898.23"/>
  </r>
  <r>
    <n v="159"/>
    <d v="2023-08-01T00:00:00"/>
    <x v="6"/>
    <n v="3115"/>
    <x v="0"/>
    <n v="424.07"/>
    <n v="0"/>
    <n v="2"/>
    <x v="0"/>
    <s v="Wallet"/>
    <n v="3.8"/>
    <n v="383"/>
    <n v="424.07"/>
    <n v="848.14"/>
  </r>
  <r>
    <n v="160"/>
    <d v="2023-11-13T00:00:00"/>
    <x v="7"/>
    <n v="4410"/>
    <x v="2"/>
    <n v="274.60000000000002"/>
    <n v="15"/>
    <n v="2"/>
    <x v="2"/>
    <s v="UPI"/>
    <n v="1.1000000000000001"/>
    <n v="317"/>
    <n v="233.41"/>
    <n v="466.82"/>
  </r>
  <r>
    <n v="161"/>
    <d v="2023-07-11T00:00:00"/>
    <x v="10"/>
    <n v="4156"/>
    <x v="1"/>
    <n v="102.55"/>
    <n v="10"/>
    <n v="4"/>
    <x v="3"/>
    <s v="UPI"/>
    <n v="3.2"/>
    <n v="148"/>
    <n v="92.3"/>
    <n v="369.2"/>
  </r>
  <r>
    <n v="162"/>
    <d v="2023-07-28T00:00:00"/>
    <x v="10"/>
    <n v="4965"/>
    <x v="5"/>
    <n v="409.54"/>
    <n v="5"/>
    <n v="2"/>
    <x v="3"/>
    <s v="Debit Card"/>
    <n v="3.2"/>
    <n v="294"/>
    <n v="389.06"/>
    <n v="778.12"/>
  </r>
  <r>
    <n v="163"/>
    <d v="2023-10-08T00:00:00"/>
    <x v="8"/>
    <n v="3983"/>
    <x v="2"/>
    <n v="114.02"/>
    <n v="15"/>
    <n v="3"/>
    <x v="2"/>
    <s v="Debit Card"/>
    <n v="1.9"/>
    <n v="493"/>
    <n v="96.92"/>
    <n v="290.76"/>
  </r>
  <r>
    <n v="164"/>
    <d v="2022-01-28T00:00:00"/>
    <x v="4"/>
    <n v="1376"/>
    <x v="5"/>
    <n v="431.15"/>
    <n v="5"/>
    <n v="1"/>
    <x v="3"/>
    <s v="Credit Card"/>
    <n v="3.3"/>
    <n v="267"/>
    <n v="409.59"/>
    <n v="409.59"/>
  </r>
  <r>
    <n v="165"/>
    <d v="2023-09-12T00:00:00"/>
    <x v="2"/>
    <n v="2408"/>
    <x v="2"/>
    <n v="214.77"/>
    <n v="0"/>
    <n v="2"/>
    <x v="1"/>
    <s v="Cash on Delivery"/>
    <n v="3.7"/>
    <n v="135"/>
    <n v="214.77"/>
    <n v="429.54"/>
  </r>
  <r>
    <n v="166"/>
    <d v="2023-07-10T00:00:00"/>
    <x v="10"/>
    <n v="3323"/>
    <x v="4"/>
    <n v="33.46"/>
    <n v="30"/>
    <n v="4"/>
    <x v="2"/>
    <s v="UPI"/>
    <n v="4.7"/>
    <n v="8"/>
    <n v="23.42"/>
    <n v="93.68"/>
  </r>
  <r>
    <n v="167"/>
    <d v="2022-12-06T00:00:00"/>
    <x v="3"/>
    <n v="3815"/>
    <x v="0"/>
    <n v="409.35"/>
    <n v="0"/>
    <n v="4"/>
    <x v="3"/>
    <s v="Cash on Delivery"/>
    <n v="2.2999999999999998"/>
    <n v="62"/>
    <n v="409.35"/>
    <n v="1637.4"/>
  </r>
  <r>
    <n v="168"/>
    <d v="2022-11-27T00:00:00"/>
    <x v="7"/>
    <n v="2941"/>
    <x v="0"/>
    <n v="282.51"/>
    <n v="0"/>
    <n v="5"/>
    <x v="2"/>
    <s v="UPI"/>
    <n v="2.2999999999999998"/>
    <n v="412"/>
    <n v="282.51"/>
    <n v="1412.55"/>
  </r>
  <r>
    <n v="169"/>
    <d v="2023-10-02T00:00:00"/>
    <x v="8"/>
    <n v="3997"/>
    <x v="1"/>
    <n v="162.59"/>
    <n v="15"/>
    <n v="2"/>
    <x v="0"/>
    <s v="Credit Card"/>
    <n v="3"/>
    <n v="252"/>
    <n v="138.19999999999999"/>
    <n v="276.39999999999998"/>
  </r>
  <r>
    <n v="170"/>
    <d v="2023-05-21T00:00:00"/>
    <x v="5"/>
    <n v="1204"/>
    <x v="4"/>
    <n v="229.2"/>
    <n v="10"/>
    <n v="1"/>
    <x v="2"/>
    <s v="Wallet"/>
    <n v="2.5"/>
    <n v="487"/>
    <n v="206.28"/>
    <n v="206.28"/>
  </r>
  <r>
    <n v="171"/>
    <d v="2022-12-14T00:00:00"/>
    <x v="3"/>
    <n v="1744"/>
    <x v="2"/>
    <n v="443.67"/>
    <n v="0"/>
    <n v="3"/>
    <x v="0"/>
    <s v="UPI"/>
    <n v="1.4"/>
    <n v="40"/>
    <n v="443.67"/>
    <n v="1331.01"/>
  </r>
  <r>
    <n v="172"/>
    <d v="2023-04-18T00:00:00"/>
    <x v="0"/>
    <n v="4136"/>
    <x v="2"/>
    <n v="105.56"/>
    <n v="10"/>
    <n v="4"/>
    <x v="3"/>
    <s v="Debit Card"/>
    <n v="2.7"/>
    <n v="390"/>
    <n v="95"/>
    <n v="380"/>
  </r>
  <r>
    <n v="173"/>
    <d v="2022-08-19T00:00:00"/>
    <x v="6"/>
    <n v="3958"/>
    <x v="2"/>
    <n v="56.38"/>
    <n v="30"/>
    <n v="2"/>
    <x v="0"/>
    <s v="Cash on Delivery"/>
    <n v="3.5"/>
    <n v="460"/>
    <n v="39.47"/>
    <n v="78.94"/>
  </r>
  <r>
    <n v="174"/>
    <d v="2022-07-09T00:00:00"/>
    <x v="10"/>
    <n v="2852"/>
    <x v="2"/>
    <n v="393.47"/>
    <n v="30"/>
    <n v="4"/>
    <x v="1"/>
    <s v="UPI"/>
    <n v="2.4"/>
    <n v="155"/>
    <n v="275.43"/>
    <n v="1101.72"/>
  </r>
  <r>
    <n v="175"/>
    <d v="2022-08-13T00:00:00"/>
    <x v="6"/>
    <n v="4150"/>
    <x v="5"/>
    <n v="312.73"/>
    <n v="10"/>
    <n v="4"/>
    <x v="0"/>
    <s v="UPI"/>
    <n v="2.2999999999999998"/>
    <n v="92"/>
    <n v="281.45999999999998"/>
    <n v="1125.8399999999999"/>
  </r>
  <r>
    <n v="176"/>
    <d v="2023-01-20T00:00:00"/>
    <x v="4"/>
    <n v="2549"/>
    <x v="2"/>
    <n v="435.63"/>
    <n v="15"/>
    <n v="3"/>
    <x v="2"/>
    <s v="Wallet"/>
    <n v="5"/>
    <n v="50"/>
    <n v="370.29"/>
    <n v="1110.8699999999999"/>
  </r>
  <r>
    <n v="177"/>
    <d v="2023-01-12T00:00:00"/>
    <x v="4"/>
    <n v="1324"/>
    <x v="0"/>
    <n v="160.13999999999999"/>
    <n v="0"/>
    <n v="4"/>
    <x v="3"/>
    <s v="Debit Card"/>
    <n v="4.5"/>
    <n v="394"/>
    <n v="160.13999999999999"/>
    <n v="640.55999999999995"/>
  </r>
  <r>
    <n v="178"/>
    <d v="2022-10-10T00:00:00"/>
    <x v="8"/>
    <n v="3425"/>
    <x v="4"/>
    <n v="282.82"/>
    <n v="0"/>
    <n v="2"/>
    <x v="2"/>
    <s v="Wallet"/>
    <n v="3.8"/>
    <n v="104"/>
    <n v="282.82"/>
    <n v="565.64"/>
  </r>
  <r>
    <n v="179"/>
    <d v="2023-09-25T00:00:00"/>
    <x v="2"/>
    <n v="3864"/>
    <x v="3"/>
    <n v="26"/>
    <n v="5"/>
    <n v="4"/>
    <x v="0"/>
    <s v="Debit Card"/>
    <n v="2.4"/>
    <n v="342"/>
    <n v="24.7"/>
    <n v="98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34784-4E8C-48A2-9628-4BA01C5ABA99}" name="PivotTable2" cacheId="6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A26:B39" firstHeaderRow="1" firstDataRow="1" firstDataCol="1"/>
  <pivotFields count="14">
    <pivotField compact="0" outline="0" showAll="0"/>
    <pivotField compact="0" numFmtId="14" outline="0" showAll="0"/>
    <pivotField axis="axisRow" compact="0" outline="0" showAll="0">
      <items count="13">
        <item x="4"/>
        <item x="9"/>
        <item x="1"/>
        <item x="0"/>
        <item x="5"/>
        <item x="11"/>
        <item x="10"/>
        <item x="6"/>
        <item x="2"/>
        <item x="8"/>
        <item x="7"/>
        <item x="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quantity_sold" fld="7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4FF888-AFE1-48EF-8388-79BC71D86888}" name="PivotTable1" cacheId="686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11" firstHeaderRow="1" firstDataRow="2" firstDataCol="1"/>
  <pivotFields count="14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7">
        <item x="3"/>
        <item x="0"/>
        <item x="4"/>
        <item x="1"/>
        <item x="5"/>
        <item x="2"/>
        <item t="default"/>
      </items>
    </pivotField>
    <pivotField compact="0" outline="0" showAll="0"/>
    <pivotField compact="0" outline="0" showAll="0"/>
    <pivotField dataField="1" compact="0" outline="0" showAll="0"/>
    <pivotField axis="axisCol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Sum of quantity_sold" fld="7" baseField="0" baseItem="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20036-3155-4E4B-9D3C-9EE18840F416}">
  <dimension ref="A3:F39"/>
  <sheetViews>
    <sheetView tabSelected="1" topLeftCell="A18" workbookViewId="0">
      <selection activeCell="B3" sqref="B3"/>
    </sheetView>
  </sheetViews>
  <sheetFormatPr defaultRowHeight="15"/>
  <cols>
    <col min="1" max="1" width="11.42578125" bestFit="1" customWidth="1"/>
    <col min="2" max="2" width="19.85546875" bestFit="1" customWidth="1"/>
    <col min="3" max="3" width="7.140625" bestFit="1" customWidth="1"/>
    <col min="4" max="4" width="11.28515625" bestFit="1" customWidth="1"/>
    <col min="5" max="5" width="13.85546875" bestFit="1" customWidth="1"/>
    <col min="6" max="6" width="11.42578125" bestFit="1" customWidth="1"/>
  </cols>
  <sheetData>
    <row r="3" spans="1:6">
      <c r="A3" s="3" t="s">
        <v>0</v>
      </c>
      <c r="B3" s="3" t="s">
        <v>1</v>
      </c>
    </row>
    <row r="4" spans="1:6">
      <c r="A4" s="3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</row>
    <row r="5" spans="1:6">
      <c r="A5" t="s">
        <v>8</v>
      </c>
      <c r="B5" s="2">
        <v>17</v>
      </c>
      <c r="C5" s="2">
        <v>13</v>
      </c>
      <c r="D5" s="2">
        <v>35</v>
      </c>
      <c r="E5" s="2">
        <v>14</v>
      </c>
      <c r="F5" s="2">
        <v>79</v>
      </c>
    </row>
    <row r="6" spans="1:6">
      <c r="A6" t="s">
        <v>9</v>
      </c>
      <c r="B6" s="2">
        <v>26</v>
      </c>
      <c r="C6" s="2">
        <v>18</v>
      </c>
      <c r="D6" s="2">
        <v>29</v>
      </c>
      <c r="E6" s="2">
        <v>22</v>
      </c>
      <c r="F6" s="2">
        <v>95</v>
      </c>
    </row>
    <row r="7" spans="1:6">
      <c r="A7" t="s">
        <v>10</v>
      </c>
      <c r="B7" s="2">
        <v>5</v>
      </c>
      <c r="C7" s="2">
        <v>21</v>
      </c>
      <c r="D7" s="2">
        <v>21</v>
      </c>
      <c r="E7" s="2">
        <v>25</v>
      </c>
      <c r="F7" s="2">
        <v>72</v>
      </c>
    </row>
    <row r="8" spans="1:6">
      <c r="A8" t="s">
        <v>11</v>
      </c>
      <c r="B8" s="2">
        <v>23</v>
      </c>
      <c r="C8" s="2">
        <v>17</v>
      </c>
      <c r="D8" s="2">
        <v>24</v>
      </c>
      <c r="E8" s="2">
        <v>23</v>
      </c>
      <c r="F8" s="2">
        <v>87</v>
      </c>
    </row>
    <row r="9" spans="1:6">
      <c r="A9" t="s">
        <v>12</v>
      </c>
      <c r="B9" s="2">
        <v>16</v>
      </c>
      <c r="C9" s="2">
        <v>19</v>
      </c>
      <c r="D9" s="2">
        <v>13</v>
      </c>
      <c r="E9" s="2">
        <v>17</v>
      </c>
      <c r="F9" s="2">
        <v>65</v>
      </c>
    </row>
    <row r="10" spans="1:6">
      <c r="A10" t="s">
        <v>13</v>
      </c>
      <c r="B10" s="2">
        <v>21</v>
      </c>
      <c r="C10" s="2">
        <v>24</v>
      </c>
      <c r="D10" s="2">
        <v>38</v>
      </c>
      <c r="E10" s="2">
        <v>44</v>
      </c>
      <c r="F10" s="2">
        <v>127</v>
      </c>
    </row>
    <row r="11" spans="1:6">
      <c r="A11" t="s">
        <v>7</v>
      </c>
      <c r="B11" s="2">
        <v>108</v>
      </c>
      <c r="C11" s="2">
        <v>112</v>
      </c>
      <c r="D11" s="2">
        <v>160</v>
      </c>
      <c r="E11" s="2">
        <v>145</v>
      </c>
      <c r="F11" s="2">
        <v>525</v>
      </c>
    </row>
    <row r="26" spans="1:2">
      <c r="A26" s="3" t="s">
        <v>14</v>
      </c>
      <c r="B26" t="s">
        <v>0</v>
      </c>
    </row>
    <row r="27" spans="1:2">
      <c r="A27">
        <v>1</v>
      </c>
      <c r="B27" s="2">
        <v>62</v>
      </c>
    </row>
    <row r="28" spans="1:2">
      <c r="A28">
        <v>2</v>
      </c>
      <c r="B28" s="2">
        <v>38</v>
      </c>
    </row>
    <row r="29" spans="1:2">
      <c r="A29">
        <v>3</v>
      </c>
      <c r="B29" s="2">
        <v>26</v>
      </c>
    </row>
    <row r="30" spans="1:2">
      <c r="A30">
        <v>4</v>
      </c>
      <c r="B30" s="2">
        <v>66</v>
      </c>
    </row>
    <row r="31" spans="1:2">
      <c r="A31">
        <v>5</v>
      </c>
      <c r="B31" s="2">
        <v>41</v>
      </c>
    </row>
    <row r="32" spans="1:2">
      <c r="A32">
        <v>6</v>
      </c>
      <c r="B32" s="2">
        <v>32</v>
      </c>
    </row>
    <row r="33" spans="1:2">
      <c r="A33">
        <v>7</v>
      </c>
      <c r="B33" s="2">
        <v>74</v>
      </c>
    </row>
    <row r="34" spans="1:2">
      <c r="A34">
        <v>8</v>
      </c>
      <c r="B34" s="2">
        <v>40</v>
      </c>
    </row>
    <row r="35" spans="1:2">
      <c r="A35">
        <v>9</v>
      </c>
      <c r="B35" s="2">
        <v>30</v>
      </c>
    </row>
    <row r="36" spans="1:2">
      <c r="A36">
        <v>10</v>
      </c>
      <c r="B36" s="2">
        <v>33</v>
      </c>
    </row>
    <row r="37" spans="1:2">
      <c r="A37">
        <v>11</v>
      </c>
      <c r="B37" s="2">
        <v>34</v>
      </c>
    </row>
    <row r="38" spans="1:2">
      <c r="A38">
        <v>12</v>
      </c>
      <c r="B38" s="2">
        <v>49</v>
      </c>
    </row>
    <row r="39" spans="1:2">
      <c r="A39" t="s">
        <v>7</v>
      </c>
      <c r="B39" s="2">
        <v>525</v>
      </c>
    </row>
  </sheetData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0"/>
  <sheetViews>
    <sheetView workbookViewId="0">
      <selection activeCell="H4" sqref="H4"/>
    </sheetView>
  </sheetViews>
  <sheetFormatPr defaultRowHeight="15"/>
  <cols>
    <col min="2" max="3" width="10.5703125" customWidth="1"/>
    <col min="4" max="4" width="11" customWidth="1"/>
    <col min="5" max="5" width="16" customWidth="1"/>
    <col min="7" max="7" width="15.7109375" customWidth="1"/>
    <col min="8" max="8" width="12.5703125" customWidth="1"/>
    <col min="9" max="9" width="15.140625" customWidth="1"/>
    <col min="10" max="10" width="16.140625" customWidth="1"/>
    <col min="11" max="11" width="6.42578125" customWidth="1"/>
    <col min="12" max="12" width="12.85546875" customWidth="1"/>
    <col min="13" max="13" width="16" customWidth="1"/>
    <col min="14" max="14" width="13.5703125" customWidth="1"/>
  </cols>
  <sheetData>
    <row r="1" spans="1:14">
      <c r="A1" t="s">
        <v>15</v>
      </c>
      <c r="B1" t="s">
        <v>16</v>
      </c>
      <c r="C1" t="s">
        <v>14</v>
      </c>
      <c r="D1" t="s">
        <v>17</v>
      </c>
      <c r="E1" t="s">
        <v>2</v>
      </c>
      <c r="F1" t="s">
        <v>18</v>
      </c>
      <c r="G1" t="s">
        <v>19</v>
      </c>
      <c r="H1" t="s">
        <v>20</v>
      </c>
      <c r="I1" t="s">
        <v>1</v>
      </c>
      <c r="J1" t="s">
        <v>21</v>
      </c>
      <c r="K1" t="s">
        <v>22</v>
      </c>
      <c r="L1" t="s">
        <v>23</v>
      </c>
      <c r="M1" t="s">
        <v>24</v>
      </c>
      <c r="N1" t="s">
        <v>25</v>
      </c>
    </row>
    <row r="2" spans="1:14">
      <c r="A2">
        <v>1</v>
      </c>
      <c r="B2" s="1">
        <v>44664</v>
      </c>
      <c r="C2" s="2">
        <f>MONTH(B2)</f>
        <v>4</v>
      </c>
      <c r="D2">
        <v>2637</v>
      </c>
      <c r="E2" t="s">
        <v>9</v>
      </c>
      <c r="F2">
        <v>128.75</v>
      </c>
      <c r="G2">
        <v>10</v>
      </c>
      <c r="H2">
        <v>4</v>
      </c>
      <c r="I2" t="s">
        <v>6</v>
      </c>
      <c r="J2" t="s">
        <v>26</v>
      </c>
      <c r="K2">
        <v>3.5</v>
      </c>
      <c r="L2">
        <v>443</v>
      </c>
      <c r="M2">
        <v>115.88</v>
      </c>
      <c r="N2">
        <v>463.52</v>
      </c>
    </row>
    <row r="3" spans="1:14">
      <c r="A3">
        <v>2</v>
      </c>
      <c r="B3" s="1">
        <v>44997</v>
      </c>
      <c r="C3" s="2">
        <f t="shared" ref="C3:C66" si="0">MONTH(B3)</f>
        <v>3</v>
      </c>
      <c r="D3">
        <v>2300</v>
      </c>
      <c r="E3" t="s">
        <v>11</v>
      </c>
      <c r="F3">
        <v>302.60000000000002</v>
      </c>
      <c r="G3">
        <v>20</v>
      </c>
      <c r="H3">
        <v>5</v>
      </c>
      <c r="I3" t="s">
        <v>3</v>
      </c>
      <c r="J3" t="s">
        <v>27</v>
      </c>
      <c r="K3">
        <v>3.7</v>
      </c>
      <c r="L3">
        <v>475</v>
      </c>
      <c r="M3">
        <v>242.08</v>
      </c>
      <c r="N3">
        <v>1210.4000000000001</v>
      </c>
    </row>
    <row r="4" spans="1:14">
      <c r="A4">
        <v>3</v>
      </c>
      <c r="B4" s="1">
        <v>44832</v>
      </c>
      <c r="C4" s="2">
        <f t="shared" si="0"/>
        <v>9</v>
      </c>
      <c r="D4">
        <v>3670</v>
      </c>
      <c r="E4" t="s">
        <v>13</v>
      </c>
      <c r="F4">
        <v>495.8</v>
      </c>
      <c r="G4">
        <v>20</v>
      </c>
      <c r="H4">
        <v>2</v>
      </c>
      <c r="I4" t="s">
        <v>4</v>
      </c>
      <c r="J4" t="s">
        <v>26</v>
      </c>
      <c r="K4">
        <v>4.4000000000000004</v>
      </c>
      <c r="L4">
        <v>183</v>
      </c>
      <c r="M4">
        <v>396.64</v>
      </c>
      <c r="N4">
        <v>793.28</v>
      </c>
    </row>
    <row r="5" spans="1:14">
      <c r="A5">
        <v>4</v>
      </c>
      <c r="B5" s="1">
        <v>44668</v>
      </c>
      <c r="C5" s="2">
        <f t="shared" si="0"/>
        <v>4</v>
      </c>
      <c r="D5">
        <v>2522</v>
      </c>
      <c r="E5" t="s">
        <v>9</v>
      </c>
      <c r="F5">
        <v>371.95</v>
      </c>
      <c r="G5">
        <v>15</v>
      </c>
      <c r="H5">
        <v>4</v>
      </c>
      <c r="I5" t="s">
        <v>5</v>
      </c>
      <c r="J5" t="s">
        <v>26</v>
      </c>
      <c r="K5">
        <v>5</v>
      </c>
      <c r="L5">
        <v>212</v>
      </c>
      <c r="M5">
        <v>316.16000000000003</v>
      </c>
      <c r="N5">
        <v>1264.6400000000001</v>
      </c>
    </row>
    <row r="6" spans="1:14">
      <c r="A6">
        <v>5</v>
      </c>
      <c r="B6" s="1">
        <v>44633</v>
      </c>
      <c r="C6" s="2">
        <f t="shared" si="0"/>
        <v>3</v>
      </c>
      <c r="D6">
        <v>1717</v>
      </c>
      <c r="E6" t="s">
        <v>8</v>
      </c>
      <c r="F6">
        <v>201.68</v>
      </c>
      <c r="G6">
        <v>0</v>
      </c>
      <c r="H6">
        <v>4</v>
      </c>
      <c r="I6" t="s">
        <v>5</v>
      </c>
      <c r="J6" t="s">
        <v>26</v>
      </c>
      <c r="K6">
        <v>4.5999999999999996</v>
      </c>
      <c r="L6">
        <v>308</v>
      </c>
      <c r="M6">
        <v>201.68</v>
      </c>
      <c r="N6">
        <v>806.72</v>
      </c>
    </row>
    <row r="7" spans="1:14">
      <c r="A7">
        <v>6</v>
      </c>
      <c r="B7" s="1">
        <v>45262</v>
      </c>
      <c r="C7" s="2">
        <f t="shared" si="0"/>
        <v>12</v>
      </c>
      <c r="D7">
        <v>1777</v>
      </c>
      <c r="E7" t="s">
        <v>13</v>
      </c>
      <c r="F7">
        <v>385.17</v>
      </c>
      <c r="G7">
        <v>30</v>
      </c>
      <c r="H7">
        <v>3</v>
      </c>
      <c r="I7" t="s">
        <v>3</v>
      </c>
      <c r="J7" t="s">
        <v>28</v>
      </c>
      <c r="K7">
        <v>3.8</v>
      </c>
      <c r="L7">
        <v>489</v>
      </c>
      <c r="M7">
        <v>269.62</v>
      </c>
      <c r="N7">
        <v>808.86</v>
      </c>
    </row>
    <row r="8" spans="1:14">
      <c r="A8">
        <v>7</v>
      </c>
      <c r="B8" s="1">
        <v>44582</v>
      </c>
      <c r="C8" s="2">
        <f t="shared" si="0"/>
        <v>1</v>
      </c>
      <c r="D8">
        <v>4068</v>
      </c>
      <c r="E8" t="s">
        <v>9</v>
      </c>
      <c r="F8">
        <v>15.78</v>
      </c>
      <c r="G8">
        <v>0</v>
      </c>
      <c r="H8">
        <v>5</v>
      </c>
      <c r="I8" t="s">
        <v>3</v>
      </c>
      <c r="J8" t="s">
        <v>26</v>
      </c>
      <c r="K8">
        <v>1.6</v>
      </c>
      <c r="L8">
        <v>415</v>
      </c>
      <c r="M8">
        <v>15.78</v>
      </c>
      <c r="N8">
        <v>78.900000000000006</v>
      </c>
    </row>
    <row r="9" spans="1:14">
      <c r="A9">
        <v>8</v>
      </c>
      <c r="B9" s="1">
        <v>45176</v>
      </c>
      <c r="C9" s="2">
        <f t="shared" si="0"/>
        <v>9</v>
      </c>
      <c r="D9">
        <v>3537</v>
      </c>
      <c r="E9" t="s">
        <v>11</v>
      </c>
      <c r="F9">
        <v>111.59</v>
      </c>
      <c r="G9">
        <v>30</v>
      </c>
      <c r="H9">
        <v>4</v>
      </c>
      <c r="I9" t="s">
        <v>5</v>
      </c>
      <c r="J9" t="s">
        <v>26</v>
      </c>
      <c r="K9">
        <v>3.4</v>
      </c>
      <c r="L9">
        <v>143</v>
      </c>
      <c r="M9">
        <v>78.11</v>
      </c>
      <c r="N9">
        <v>312.44</v>
      </c>
    </row>
    <row r="10" spans="1:14">
      <c r="A10">
        <v>9</v>
      </c>
      <c r="B10" s="1">
        <v>44683</v>
      </c>
      <c r="C10" s="2">
        <f t="shared" si="0"/>
        <v>5</v>
      </c>
      <c r="D10">
        <v>3262</v>
      </c>
      <c r="E10" t="s">
        <v>9</v>
      </c>
      <c r="F10">
        <v>373.62</v>
      </c>
      <c r="G10">
        <v>0</v>
      </c>
      <c r="H10">
        <v>4</v>
      </c>
      <c r="I10" t="s">
        <v>3</v>
      </c>
      <c r="J10" t="s">
        <v>28</v>
      </c>
      <c r="K10">
        <v>2.8</v>
      </c>
      <c r="L10">
        <v>497</v>
      </c>
      <c r="M10">
        <v>373.62</v>
      </c>
      <c r="N10">
        <v>1494.48</v>
      </c>
    </row>
    <row r="11" spans="1:14">
      <c r="A11">
        <v>10</v>
      </c>
      <c r="B11" s="1">
        <v>45028</v>
      </c>
      <c r="C11" s="2">
        <f t="shared" si="0"/>
        <v>4</v>
      </c>
      <c r="D11">
        <v>4174</v>
      </c>
      <c r="E11" t="s">
        <v>13</v>
      </c>
      <c r="F11">
        <v>134.81</v>
      </c>
      <c r="G11">
        <v>15</v>
      </c>
      <c r="H11">
        <v>2</v>
      </c>
      <c r="I11" t="s">
        <v>5</v>
      </c>
      <c r="J11" t="s">
        <v>29</v>
      </c>
      <c r="K11">
        <v>2</v>
      </c>
      <c r="L11">
        <v>25</v>
      </c>
      <c r="M11">
        <v>114.59</v>
      </c>
      <c r="N11">
        <v>229.18</v>
      </c>
    </row>
    <row r="12" spans="1:14">
      <c r="A12">
        <v>11</v>
      </c>
      <c r="B12" s="1">
        <v>44776</v>
      </c>
      <c r="C12" s="2">
        <f t="shared" si="0"/>
        <v>8</v>
      </c>
      <c r="D12">
        <v>4878</v>
      </c>
      <c r="E12" t="s">
        <v>10</v>
      </c>
      <c r="F12">
        <v>67.430000000000007</v>
      </c>
      <c r="G12">
        <v>20</v>
      </c>
      <c r="H12">
        <v>4</v>
      </c>
      <c r="I12" t="s">
        <v>4</v>
      </c>
      <c r="J12" t="s">
        <v>30</v>
      </c>
      <c r="K12">
        <v>4.3</v>
      </c>
      <c r="L12">
        <v>426</v>
      </c>
      <c r="M12">
        <v>53.94</v>
      </c>
      <c r="N12">
        <v>215.76</v>
      </c>
    </row>
    <row r="13" spans="1:14">
      <c r="A13">
        <v>12</v>
      </c>
      <c r="B13" s="1">
        <v>44892</v>
      </c>
      <c r="C13" s="2">
        <f t="shared" si="0"/>
        <v>11</v>
      </c>
      <c r="D13">
        <v>3637</v>
      </c>
      <c r="E13" t="s">
        <v>9</v>
      </c>
      <c r="F13">
        <v>150.19</v>
      </c>
      <c r="G13">
        <v>0</v>
      </c>
      <c r="H13">
        <v>1</v>
      </c>
      <c r="I13" t="s">
        <v>6</v>
      </c>
      <c r="J13" t="s">
        <v>29</v>
      </c>
      <c r="K13">
        <v>4.4000000000000004</v>
      </c>
      <c r="L13">
        <v>279</v>
      </c>
      <c r="M13">
        <v>150.19</v>
      </c>
      <c r="N13">
        <v>150.19</v>
      </c>
    </row>
    <row r="14" spans="1:14">
      <c r="A14">
        <v>13</v>
      </c>
      <c r="B14" s="1">
        <v>45020</v>
      </c>
      <c r="C14" s="2">
        <f t="shared" si="0"/>
        <v>4</v>
      </c>
      <c r="D14">
        <v>3222</v>
      </c>
      <c r="E14" t="s">
        <v>10</v>
      </c>
      <c r="F14">
        <v>89.81</v>
      </c>
      <c r="G14">
        <v>0</v>
      </c>
      <c r="H14">
        <v>3</v>
      </c>
      <c r="I14" t="s">
        <v>4</v>
      </c>
      <c r="J14" t="s">
        <v>26</v>
      </c>
      <c r="K14">
        <v>3.6</v>
      </c>
      <c r="L14">
        <v>151</v>
      </c>
      <c r="M14">
        <v>89.81</v>
      </c>
      <c r="N14">
        <v>269.43</v>
      </c>
    </row>
    <row r="15" spans="1:14">
      <c r="A15">
        <v>14</v>
      </c>
      <c r="B15" s="1">
        <v>44649</v>
      </c>
      <c r="C15" s="2">
        <f t="shared" si="0"/>
        <v>3</v>
      </c>
      <c r="D15">
        <v>4925</v>
      </c>
      <c r="E15" t="s">
        <v>12</v>
      </c>
      <c r="F15">
        <v>213.22</v>
      </c>
      <c r="G15">
        <v>0</v>
      </c>
      <c r="H15">
        <v>3</v>
      </c>
      <c r="I15" t="s">
        <v>4</v>
      </c>
      <c r="J15" t="s">
        <v>27</v>
      </c>
      <c r="K15">
        <v>1.4</v>
      </c>
      <c r="L15">
        <v>239</v>
      </c>
      <c r="M15">
        <v>213.22</v>
      </c>
      <c r="N15">
        <v>639.66</v>
      </c>
    </row>
    <row r="16" spans="1:14">
      <c r="A16">
        <v>15</v>
      </c>
      <c r="B16" s="1">
        <v>44934</v>
      </c>
      <c r="C16" s="2">
        <f t="shared" si="0"/>
        <v>1</v>
      </c>
      <c r="D16">
        <v>1051</v>
      </c>
      <c r="E16" t="s">
        <v>8</v>
      </c>
      <c r="F16">
        <v>66.650000000000006</v>
      </c>
      <c r="G16">
        <v>10</v>
      </c>
      <c r="H16">
        <v>2</v>
      </c>
      <c r="I16" t="s">
        <v>6</v>
      </c>
      <c r="J16" t="s">
        <v>30</v>
      </c>
      <c r="K16">
        <v>4.5999999999999996</v>
      </c>
      <c r="L16">
        <v>262</v>
      </c>
      <c r="M16">
        <v>59.99</v>
      </c>
      <c r="N16">
        <v>119.98</v>
      </c>
    </row>
    <row r="17" spans="1:14">
      <c r="A17">
        <v>16</v>
      </c>
      <c r="B17" s="1">
        <v>44661</v>
      </c>
      <c r="C17" s="2">
        <f t="shared" si="0"/>
        <v>4</v>
      </c>
      <c r="D17">
        <v>3344</v>
      </c>
      <c r="E17" t="s">
        <v>10</v>
      </c>
      <c r="F17">
        <v>419.66</v>
      </c>
      <c r="G17">
        <v>0</v>
      </c>
      <c r="H17">
        <v>3</v>
      </c>
      <c r="I17" t="s">
        <v>5</v>
      </c>
      <c r="J17" t="s">
        <v>27</v>
      </c>
      <c r="K17">
        <v>2.7</v>
      </c>
      <c r="L17">
        <v>46</v>
      </c>
      <c r="M17">
        <v>419.66</v>
      </c>
      <c r="N17">
        <v>1258.98</v>
      </c>
    </row>
    <row r="18" spans="1:14">
      <c r="A18">
        <v>17</v>
      </c>
      <c r="B18" s="1">
        <v>45225</v>
      </c>
      <c r="C18" s="2">
        <f t="shared" si="0"/>
        <v>10</v>
      </c>
      <c r="D18">
        <v>3011</v>
      </c>
      <c r="E18" t="s">
        <v>13</v>
      </c>
      <c r="F18">
        <v>391.09</v>
      </c>
      <c r="G18">
        <v>5</v>
      </c>
      <c r="H18">
        <v>3</v>
      </c>
      <c r="I18" t="s">
        <v>5</v>
      </c>
      <c r="J18" t="s">
        <v>27</v>
      </c>
      <c r="K18">
        <v>3.7</v>
      </c>
      <c r="L18">
        <v>51</v>
      </c>
      <c r="M18">
        <v>371.54</v>
      </c>
      <c r="N18">
        <v>1114.6199999999999</v>
      </c>
    </row>
    <row r="19" spans="1:14">
      <c r="A19">
        <v>18</v>
      </c>
      <c r="B19" s="1">
        <v>44692</v>
      </c>
      <c r="C19" s="2">
        <f t="shared" si="0"/>
        <v>5</v>
      </c>
      <c r="D19">
        <v>3222</v>
      </c>
      <c r="E19" t="s">
        <v>12</v>
      </c>
      <c r="F19">
        <v>156.94999999999999</v>
      </c>
      <c r="G19">
        <v>30</v>
      </c>
      <c r="H19">
        <v>3</v>
      </c>
      <c r="I19" t="s">
        <v>5</v>
      </c>
      <c r="J19" t="s">
        <v>29</v>
      </c>
      <c r="K19">
        <v>2.9</v>
      </c>
      <c r="L19">
        <v>354</v>
      </c>
      <c r="M19">
        <v>109.86</v>
      </c>
      <c r="N19">
        <v>329.58</v>
      </c>
    </row>
    <row r="20" spans="1:14">
      <c r="A20">
        <v>19</v>
      </c>
      <c r="B20" s="1">
        <v>45223</v>
      </c>
      <c r="C20" s="2">
        <f t="shared" si="0"/>
        <v>10</v>
      </c>
      <c r="D20">
        <v>1968</v>
      </c>
      <c r="E20" t="s">
        <v>12</v>
      </c>
      <c r="F20">
        <v>262.36</v>
      </c>
      <c r="G20">
        <v>10</v>
      </c>
      <c r="H20">
        <v>1</v>
      </c>
      <c r="I20" t="s">
        <v>3</v>
      </c>
      <c r="J20" t="s">
        <v>28</v>
      </c>
      <c r="K20">
        <v>4.5999999999999996</v>
      </c>
      <c r="L20">
        <v>473</v>
      </c>
      <c r="M20">
        <v>236.12</v>
      </c>
      <c r="N20">
        <v>236.12</v>
      </c>
    </row>
    <row r="21" spans="1:14">
      <c r="A21">
        <v>20</v>
      </c>
      <c r="B21" s="1">
        <v>44870</v>
      </c>
      <c r="C21" s="2">
        <f t="shared" si="0"/>
        <v>11</v>
      </c>
      <c r="D21">
        <v>3390</v>
      </c>
      <c r="E21" t="s">
        <v>11</v>
      </c>
      <c r="F21">
        <v>428.24</v>
      </c>
      <c r="G21">
        <v>30</v>
      </c>
      <c r="H21">
        <v>3</v>
      </c>
      <c r="I21" t="s">
        <v>5</v>
      </c>
      <c r="J21" t="s">
        <v>28</v>
      </c>
      <c r="K21">
        <v>1.2</v>
      </c>
      <c r="L21">
        <v>331</v>
      </c>
      <c r="M21">
        <v>299.77</v>
      </c>
      <c r="N21">
        <v>899.31</v>
      </c>
    </row>
    <row r="22" spans="1:14">
      <c r="A22">
        <v>21</v>
      </c>
      <c r="B22" s="1">
        <v>44905</v>
      </c>
      <c r="C22" s="2">
        <f t="shared" si="0"/>
        <v>12</v>
      </c>
      <c r="D22">
        <v>2734</v>
      </c>
      <c r="E22" t="s">
        <v>12</v>
      </c>
      <c r="F22">
        <v>464.87</v>
      </c>
      <c r="G22">
        <v>10</v>
      </c>
      <c r="H22">
        <v>3</v>
      </c>
      <c r="I22" t="s">
        <v>6</v>
      </c>
      <c r="J22" t="s">
        <v>28</v>
      </c>
      <c r="K22">
        <v>3.8</v>
      </c>
      <c r="L22">
        <v>490</v>
      </c>
      <c r="M22">
        <v>418.38</v>
      </c>
      <c r="N22">
        <v>1255.1400000000001</v>
      </c>
    </row>
    <row r="23" spans="1:14">
      <c r="A23">
        <v>22</v>
      </c>
      <c r="B23" s="1">
        <v>45053</v>
      </c>
      <c r="C23" s="2">
        <f t="shared" si="0"/>
        <v>5</v>
      </c>
      <c r="D23">
        <v>1599</v>
      </c>
      <c r="E23" t="s">
        <v>8</v>
      </c>
      <c r="F23">
        <v>50.09</v>
      </c>
      <c r="G23">
        <v>0</v>
      </c>
      <c r="H23">
        <v>1</v>
      </c>
      <c r="I23" t="s">
        <v>4</v>
      </c>
      <c r="J23" t="s">
        <v>26</v>
      </c>
      <c r="K23">
        <v>4.3</v>
      </c>
      <c r="L23">
        <v>34</v>
      </c>
      <c r="M23">
        <v>50.09</v>
      </c>
      <c r="N23">
        <v>50.09</v>
      </c>
    </row>
    <row r="24" spans="1:14">
      <c r="A24">
        <v>23</v>
      </c>
      <c r="B24" s="1">
        <v>44975</v>
      </c>
      <c r="C24" s="2">
        <f t="shared" si="0"/>
        <v>2</v>
      </c>
      <c r="D24">
        <v>1170</v>
      </c>
      <c r="E24" t="s">
        <v>8</v>
      </c>
      <c r="F24">
        <v>362.4</v>
      </c>
      <c r="G24">
        <v>15</v>
      </c>
      <c r="H24">
        <v>2</v>
      </c>
      <c r="I24" t="s">
        <v>6</v>
      </c>
      <c r="J24" t="s">
        <v>30</v>
      </c>
      <c r="K24">
        <v>2.4</v>
      </c>
      <c r="L24">
        <v>318</v>
      </c>
      <c r="M24">
        <v>308.04000000000002</v>
      </c>
      <c r="N24">
        <v>616.08000000000004</v>
      </c>
    </row>
    <row r="25" spans="1:14">
      <c r="A25">
        <v>24</v>
      </c>
      <c r="B25" s="1">
        <v>44947</v>
      </c>
      <c r="C25" s="2">
        <f t="shared" si="0"/>
        <v>1</v>
      </c>
      <c r="D25">
        <v>4108</v>
      </c>
      <c r="E25" t="s">
        <v>8</v>
      </c>
      <c r="F25">
        <v>72.05</v>
      </c>
      <c r="G25">
        <v>20</v>
      </c>
      <c r="H25">
        <v>2</v>
      </c>
      <c r="I25" t="s">
        <v>5</v>
      </c>
      <c r="J25" t="s">
        <v>30</v>
      </c>
      <c r="K25">
        <v>4.4000000000000004</v>
      </c>
      <c r="L25">
        <v>129</v>
      </c>
      <c r="M25">
        <v>57.64</v>
      </c>
      <c r="N25">
        <v>115.28</v>
      </c>
    </row>
    <row r="26" spans="1:14">
      <c r="A26">
        <v>25</v>
      </c>
      <c r="B26" s="1">
        <v>44753</v>
      </c>
      <c r="C26" s="2">
        <f t="shared" si="0"/>
        <v>7</v>
      </c>
      <c r="D26">
        <v>2658</v>
      </c>
      <c r="E26" t="s">
        <v>8</v>
      </c>
      <c r="F26">
        <v>14.92</v>
      </c>
      <c r="G26">
        <v>15</v>
      </c>
      <c r="H26">
        <v>1</v>
      </c>
      <c r="I26" t="s">
        <v>5</v>
      </c>
      <c r="J26" t="s">
        <v>28</v>
      </c>
      <c r="K26">
        <v>1</v>
      </c>
      <c r="L26">
        <v>498</v>
      </c>
      <c r="M26">
        <v>12.68</v>
      </c>
      <c r="N26">
        <v>12.68</v>
      </c>
    </row>
    <row r="27" spans="1:14">
      <c r="A27">
        <v>26</v>
      </c>
      <c r="B27" s="1">
        <v>44838</v>
      </c>
      <c r="C27" s="2">
        <f t="shared" si="0"/>
        <v>10</v>
      </c>
      <c r="D27">
        <v>4272</v>
      </c>
      <c r="E27" t="s">
        <v>11</v>
      </c>
      <c r="F27">
        <v>44.08</v>
      </c>
      <c r="G27">
        <v>15</v>
      </c>
      <c r="H27">
        <v>1</v>
      </c>
      <c r="I27" t="s">
        <v>4</v>
      </c>
      <c r="J27" t="s">
        <v>30</v>
      </c>
      <c r="K27">
        <v>1.1000000000000001</v>
      </c>
      <c r="L27">
        <v>303</v>
      </c>
      <c r="M27">
        <v>37.47</v>
      </c>
      <c r="N27">
        <v>37.47</v>
      </c>
    </row>
    <row r="28" spans="1:14">
      <c r="A28">
        <v>27</v>
      </c>
      <c r="B28" s="1">
        <v>44722</v>
      </c>
      <c r="C28" s="2">
        <f t="shared" si="0"/>
        <v>6</v>
      </c>
      <c r="D28">
        <v>2087</v>
      </c>
      <c r="E28" t="s">
        <v>9</v>
      </c>
      <c r="F28">
        <v>290.06</v>
      </c>
      <c r="G28">
        <v>20</v>
      </c>
      <c r="H28">
        <v>5</v>
      </c>
      <c r="I28" t="s">
        <v>3</v>
      </c>
      <c r="J28" t="s">
        <v>27</v>
      </c>
      <c r="K28">
        <v>4.0999999999999996</v>
      </c>
      <c r="L28">
        <v>35</v>
      </c>
      <c r="M28">
        <v>232.05</v>
      </c>
      <c r="N28">
        <v>1160.25</v>
      </c>
    </row>
    <row r="29" spans="1:14">
      <c r="A29">
        <v>28</v>
      </c>
      <c r="B29" s="1">
        <v>45021</v>
      </c>
      <c r="C29" s="2">
        <f t="shared" si="0"/>
        <v>4</v>
      </c>
      <c r="D29">
        <v>4557</v>
      </c>
      <c r="E29" t="s">
        <v>13</v>
      </c>
      <c r="F29">
        <v>191.67</v>
      </c>
      <c r="G29">
        <v>10</v>
      </c>
      <c r="H29">
        <v>5</v>
      </c>
      <c r="I29" t="s">
        <v>3</v>
      </c>
      <c r="J29" t="s">
        <v>29</v>
      </c>
      <c r="K29">
        <v>4.3</v>
      </c>
      <c r="L29">
        <v>106</v>
      </c>
      <c r="M29">
        <v>172.5</v>
      </c>
      <c r="N29">
        <v>862.5</v>
      </c>
    </row>
    <row r="30" spans="1:14">
      <c r="A30">
        <v>29</v>
      </c>
      <c r="B30" s="1">
        <v>44875</v>
      </c>
      <c r="C30" s="2">
        <f t="shared" si="0"/>
        <v>11</v>
      </c>
      <c r="D30">
        <v>1454</v>
      </c>
      <c r="E30" t="s">
        <v>13</v>
      </c>
      <c r="F30">
        <v>63.74</v>
      </c>
      <c r="G30">
        <v>10</v>
      </c>
      <c r="H30">
        <v>1</v>
      </c>
      <c r="I30" t="s">
        <v>4</v>
      </c>
      <c r="J30" t="s">
        <v>29</v>
      </c>
      <c r="K30">
        <v>4.0999999999999996</v>
      </c>
      <c r="L30">
        <v>318</v>
      </c>
      <c r="M30">
        <v>57.37</v>
      </c>
      <c r="N30">
        <v>57.37</v>
      </c>
    </row>
    <row r="31" spans="1:14">
      <c r="A31">
        <v>30</v>
      </c>
      <c r="B31" s="1">
        <v>44583</v>
      </c>
      <c r="C31" s="2">
        <f t="shared" si="0"/>
        <v>1</v>
      </c>
      <c r="D31">
        <v>4771</v>
      </c>
      <c r="E31" t="s">
        <v>10</v>
      </c>
      <c r="F31">
        <v>239.79</v>
      </c>
      <c r="G31">
        <v>15</v>
      </c>
      <c r="H31">
        <v>5</v>
      </c>
      <c r="I31" t="s">
        <v>6</v>
      </c>
      <c r="J31" t="s">
        <v>27</v>
      </c>
      <c r="K31">
        <v>2.8</v>
      </c>
      <c r="L31">
        <v>150</v>
      </c>
      <c r="M31">
        <v>203.82</v>
      </c>
      <c r="N31">
        <v>1019.1</v>
      </c>
    </row>
    <row r="32" spans="1:14">
      <c r="A32">
        <v>31</v>
      </c>
      <c r="B32" s="1">
        <v>44814</v>
      </c>
      <c r="C32" s="2">
        <f t="shared" si="0"/>
        <v>9</v>
      </c>
      <c r="D32">
        <v>1726</v>
      </c>
      <c r="E32" t="s">
        <v>11</v>
      </c>
      <c r="F32">
        <v>256.57</v>
      </c>
      <c r="G32">
        <v>20</v>
      </c>
      <c r="H32">
        <v>2</v>
      </c>
      <c r="I32" t="s">
        <v>6</v>
      </c>
      <c r="J32" t="s">
        <v>27</v>
      </c>
      <c r="K32">
        <v>3.6</v>
      </c>
      <c r="L32">
        <v>269</v>
      </c>
      <c r="M32">
        <v>205.26</v>
      </c>
      <c r="N32">
        <v>410.52</v>
      </c>
    </row>
    <row r="33" spans="1:14">
      <c r="A33">
        <v>32</v>
      </c>
      <c r="B33" s="1">
        <v>45122</v>
      </c>
      <c r="C33" s="2">
        <f t="shared" si="0"/>
        <v>7</v>
      </c>
      <c r="D33">
        <v>2432</v>
      </c>
      <c r="E33" t="s">
        <v>13</v>
      </c>
      <c r="F33">
        <v>394.76</v>
      </c>
      <c r="G33">
        <v>10</v>
      </c>
      <c r="H33">
        <v>3</v>
      </c>
      <c r="I33" t="s">
        <v>6</v>
      </c>
      <c r="J33" t="s">
        <v>26</v>
      </c>
      <c r="K33">
        <v>3.7</v>
      </c>
      <c r="L33">
        <v>382</v>
      </c>
      <c r="M33">
        <v>355.28</v>
      </c>
      <c r="N33">
        <v>1065.8399999999999</v>
      </c>
    </row>
    <row r="34" spans="1:14">
      <c r="A34">
        <v>33</v>
      </c>
      <c r="B34" s="1">
        <v>45036</v>
      </c>
      <c r="C34" s="2">
        <f t="shared" si="0"/>
        <v>4</v>
      </c>
      <c r="D34">
        <v>1886</v>
      </c>
      <c r="E34" t="s">
        <v>11</v>
      </c>
      <c r="F34">
        <v>333.51</v>
      </c>
      <c r="G34">
        <v>0</v>
      </c>
      <c r="H34">
        <v>5</v>
      </c>
      <c r="I34" t="s">
        <v>4</v>
      </c>
      <c r="J34" t="s">
        <v>28</v>
      </c>
      <c r="K34">
        <v>4.0999999999999996</v>
      </c>
      <c r="L34">
        <v>196</v>
      </c>
      <c r="M34">
        <v>333.51</v>
      </c>
      <c r="N34">
        <v>1667.55</v>
      </c>
    </row>
    <row r="35" spans="1:14">
      <c r="A35">
        <v>34</v>
      </c>
      <c r="B35" s="1">
        <v>44620</v>
      </c>
      <c r="C35" s="2">
        <f t="shared" si="0"/>
        <v>2</v>
      </c>
      <c r="D35">
        <v>4053</v>
      </c>
      <c r="E35" t="s">
        <v>10</v>
      </c>
      <c r="F35">
        <v>235.65</v>
      </c>
      <c r="G35">
        <v>5</v>
      </c>
      <c r="H35">
        <v>3</v>
      </c>
      <c r="I35" t="s">
        <v>6</v>
      </c>
      <c r="J35" t="s">
        <v>29</v>
      </c>
      <c r="K35">
        <v>4.3</v>
      </c>
      <c r="L35">
        <v>448</v>
      </c>
      <c r="M35">
        <v>223.87</v>
      </c>
      <c r="N35">
        <v>671.61</v>
      </c>
    </row>
    <row r="36" spans="1:14">
      <c r="A36">
        <v>35</v>
      </c>
      <c r="B36" s="1">
        <v>45072</v>
      </c>
      <c r="C36" s="2">
        <f t="shared" si="0"/>
        <v>5</v>
      </c>
      <c r="D36">
        <v>3802</v>
      </c>
      <c r="E36" t="s">
        <v>13</v>
      </c>
      <c r="F36">
        <v>165.55</v>
      </c>
      <c r="G36">
        <v>5</v>
      </c>
      <c r="H36">
        <v>2</v>
      </c>
      <c r="I36" t="s">
        <v>6</v>
      </c>
      <c r="J36" t="s">
        <v>28</v>
      </c>
      <c r="K36">
        <v>5</v>
      </c>
      <c r="L36">
        <v>149</v>
      </c>
      <c r="M36">
        <v>157.27000000000001</v>
      </c>
      <c r="N36">
        <v>314.54000000000002</v>
      </c>
    </row>
    <row r="37" spans="1:14">
      <c r="A37">
        <v>36</v>
      </c>
      <c r="B37" s="1">
        <v>45243</v>
      </c>
      <c r="C37" s="2">
        <f t="shared" si="0"/>
        <v>11</v>
      </c>
      <c r="D37">
        <v>3197</v>
      </c>
      <c r="E37" t="s">
        <v>10</v>
      </c>
      <c r="F37">
        <v>5.99</v>
      </c>
      <c r="G37">
        <v>20</v>
      </c>
      <c r="H37">
        <v>2</v>
      </c>
      <c r="I37" t="s">
        <v>6</v>
      </c>
      <c r="J37" t="s">
        <v>26</v>
      </c>
      <c r="K37">
        <v>4.5</v>
      </c>
      <c r="L37">
        <v>89</v>
      </c>
      <c r="M37">
        <v>4.79</v>
      </c>
      <c r="N37">
        <v>9.58</v>
      </c>
    </row>
    <row r="38" spans="1:14">
      <c r="A38">
        <v>37</v>
      </c>
      <c r="B38" s="1">
        <v>45037</v>
      </c>
      <c r="C38" s="2">
        <f t="shared" si="0"/>
        <v>4</v>
      </c>
      <c r="D38">
        <v>2525</v>
      </c>
      <c r="E38" t="s">
        <v>9</v>
      </c>
      <c r="F38">
        <v>416.86</v>
      </c>
      <c r="G38">
        <v>10</v>
      </c>
      <c r="H38">
        <v>3</v>
      </c>
      <c r="I38" t="s">
        <v>4</v>
      </c>
      <c r="J38" t="s">
        <v>27</v>
      </c>
      <c r="K38">
        <v>1.9</v>
      </c>
      <c r="L38">
        <v>484</v>
      </c>
      <c r="M38">
        <v>375.17</v>
      </c>
      <c r="N38">
        <v>1125.51</v>
      </c>
    </row>
    <row r="39" spans="1:14">
      <c r="A39">
        <v>38</v>
      </c>
      <c r="B39" s="1">
        <v>45261</v>
      </c>
      <c r="C39" s="2">
        <f t="shared" si="0"/>
        <v>12</v>
      </c>
      <c r="D39">
        <v>1635</v>
      </c>
      <c r="E39" t="s">
        <v>9</v>
      </c>
      <c r="F39">
        <v>137.16</v>
      </c>
      <c r="G39">
        <v>15</v>
      </c>
      <c r="H39">
        <v>3</v>
      </c>
      <c r="I39" t="s">
        <v>6</v>
      </c>
      <c r="J39" t="s">
        <v>26</v>
      </c>
      <c r="K39">
        <v>1.3</v>
      </c>
      <c r="L39">
        <v>86</v>
      </c>
      <c r="M39">
        <v>116.59</v>
      </c>
      <c r="N39">
        <v>349.77</v>
      </c>
    </row>
    <row r="40" spans="1:14">
      <c r="A40">
        <v>39</v>
      </c>
      <c r="B40" s="1">
        <v>44751</v>
      </c>
      <c r="C40" s="2">
        <f t="shared" si="0"/>
        <v>7</v>
      </c>
      <c r="D40">
        <v>4014</v>
      </c>
      <c r="E40" t="s">
        <v>8</v>
      </c>
      <c r="F40">
        <v>110.54</v>
      </c>
      <c r="G40">
        <v>30</v>
      </c>
      <c r="H40">
        <v>4</v>
      </c>
      <c r="I40" t="s">
        <v>4</v>
      </c>
      <c r="J40" t="s">
        <v>27</v>
      </c>
      <c r="K40">
        <v>3.5</v>
      </c>
      <c r="L40">
        <v>4</v>
      </c>
      <c r="M40">
        <v>77.38</v>
      </c>
      <c r="N40">
        <v>309.52</v>
      </c>
    </row>
    <row r="41" spans="1:14">
      <c r="A41">
        <v>40</v>
      </c>
      <c r="B41" s="1">
        <v>45248</v>
      </c>
      <c r="C41" s="2">
        <f t="shared" si="0"/>
        <v>11</v>
      </c>
      <c r="D41">
        <v>3757</v>
      </c>
      <c r="E41" t="s">
        <v>13</v>
      </c>
      <c r="F41">
        <v>368.63</v>
      </c>
      <c r="G41">
        <v>0</v>
      </c>
      <c r="H41">
        <v>4</v>
      </c>
      <c r="I41" t="s">
        <v>3</v>
      </c>
      <c r="J41" t="s">
        <v>30</v>
      </c>
      <c r="K41">
        <v>3.9</v>
      </c>
      <c r="L41">
        <v>405</v>
      </c>
      <c r="M41">
        <v>368.63</v>
      </c>
      <c r="N41">
        <v>1474.52</v>
      </c>
    </row>
    <row r="42" spans="1:14">
      <c r="A42">
        <v>41</v>
      </c>
      <c r="B42" s="1">
        <v>45124</v>
      </c>
      <c r="C42" s="2">
        <f t="shared" si="0"/>
        <v>7</v>
      </c>
      <c r="D42">
        <v>2571</v>
      </c>
      <c r="E42" t="s">
        <v>9</v>
      </c>
      <c r="F42">
        <v>40.47</v>
      </c>
      <c r="G42">
        <v>15</v>
      </c>
      <c r="H42">
        <v>1</v>
      </c>
      <c r="I42" t="s">
        <v>5</v>
      </c>
      <c r="J42" t="s">
        <v>27</v>
      </c>
      <c r="K42">
        <v>3.7</v>
      </c>
      <c r="L42">
        <v>418</v>
      </c>
      <c r="M42">
        <v>34.4</v>
      </c>
      <c r="N42">
        <v>34.4</v>
      </c>
    </row>
    <row r="43" spans="1:14">
      <c r="A43">
        <v>42</v>
      </c>
      <c r="B43" s="1">
        <v>45128</v>
      </c>
      <c r="C43" s="2">
        <f t="shared" si="0"/>
        <v>7</v>
      </c>
      <c r="D43">
        <v>4885</v>
      </c>
      <c r="E43" t="s">
        <v>9</v>
      </c>
      <c r="F43">
        <v>135</v>
      </c>
      <c r="G43">
        <v>30</v>
      </c>
      <c r="H43">
        <v>5</v>
      </c>
      <c r="I43" t="s">
        <v>4</v>
      </c>
      <c r="J43" t="s">
        <v>29</v>
      </c>
      <c r="K43">
        <v>3.9</v>
      </c>
      <c r="L43">
        <v>469</v>
      </c>
      <c r="M43">
        <v>94.5</v>
      </c>
      <c r="N43">
        <v>472.5</v>
      </c>
    </row>
    <row r="44" spans="1:14">
      <c r="A44">
        <v>43</v>
      </c>
      <c r="B44" s="1">
        <v>44805</v>
      </c>
      <c r="C44" s="2">
        <f t="shared" si="0"/>
        <v>9</v>
      </c>
      <c r="D44">
        <v>3325</v>
      </c>
      <c r="E44" t="s">
        <v>10</v>
      </c>
      <c r="F44">
        <v>220.35</v>
      </c>
      <c r="G44">
        <v>15</v>
      </c>
      <c r="H44">
        <v>5</v>
      </c>
      <c r="I44" t="s">
        <v>6</v>
      </c>
      <c r="J44" t="s">
        <v>29</v>
      </c>
      <c r="K44">
        <v>3.1</v>
      </c>
      <c r="L44">
        <v>146</v>
      </c>
      <c r="M44">
        <v>187.3</v>
      </c>
      <c r="N44">
        <v>936.5</v>
      </c>
    </row>
    <row r="45" spans="1:14">
      <c r="A45">
        <v>44</v>
      </c>
      <c r="B45" s="1">
        <v>45066</v>
      </c>
      <c r="C45" s="2">
        <f t="shared" si="0"/>
        <v>5</v>
      </c>
      <c r="D45">
        <v>3082</v>
      </c>
      <c r="E45" t="s">
        <v>12</v>
      </c>
      <c r="F45">
        <v>223.58</v>
      </c>
      <c r="G45">
        <v>5</v>
      </c>
      <c r="H45">
        <v>3</v>
      </c>
      <c r="I45" t="s">
        <v>5</v>
      </c>
      <c r="J45" t="s">
        <v>28</v>
      </c>
      <c r="K45">
        <v>3.5</v>
      </c>
      <c r="L45">
        <v>238</v>
      </c>
      <c r="M45">
        <v>212.4</v>
      </c>
      <c r="N45">
        <v>637.20000000000005</v>
      </c>
    </row>
    <row r="46" spans="1:14">
      <c r="A46">
        <v>45</v>
      </c>
      <c r="B46" s="1">
        <v>44692</v>
      </c>
      <c r="C46" s="2">
        <f t="shared" si="0"/>
        <v>5</v>
      </c>
      <c r="D46">
        <v>4696</v>
      </c>
      <c r="E46" t="s">
        <v>8</v>
      </c>
      <c r="F46">
        <v>83.13</v>
      </c>
      <c r="G46">
        <v>20</v>
      </c>
      <c r="H46">
        <v>1</v>
      </c>
      <c r="I46" t="s">
        <v>5</v>
      </c>
      <c r="J46" t="s">
        <v>28</v>
      </c>
      <c r="K46">
        <v>2.6</v>
      </c>
      <c r="L46">
        <v>71</v>
      </c>
      <c r="M46">
        <v>66.5</v>
      </c>
      <c r="N46">
        <v>66.5</v>
      </c>
    </row>
    <row r="47" spans="1:14">
      <c r="A47">
        <v>46</v>
      </c>
      <c r="B47" s="1">
        <v>45046</v>
      </c>
      <c r="C47" s="2">
        <f t="shared" si="0"/>
        <v>4</v>
      </c>
      <c r="D47">
        <v>1174</v>
      </c>
      <c r="E47" t="s">
        <v>8</v>
      </c>
      <c r="F47">
        <v>24.86</v>
      </c>
      <c r="G47">
        <v>5</v>
      </c>
      <c r="H47">
        <v>5</v>
      </c>
      <c r="I47" t="s">
        <v>5</v>
      </c>
      <c r="J47" t="s">
        <v>30</v>
      </c>
      <c r="K47">
        <v>4</v>
      </c>
      <c r="L47">
        <v>224</v>
      </c>
      <c r="M47">
        <v>23.62</v>
      </c>
      <c r="N47">
        <v>118.1</v>
      </c>
    </row>
    <row r="48" spans="1:14">
      <c r="A48">
        <v>47</v>
      </c>
      <c r="B48" s="1">
        <v>45208</v>
      </c>
      <c r="C48" s="2">
        <f t="shared" si="0"/>
        <v>10</v>
      </c>
      <c r="D48">
        <v>2056</v>
      </c>
      <c r="E48" t="s">
        <v>11</v>
      </c>
      <c r="F48">
        <v>237.91</v>
      </c>
      <c r="G48">
        <v>20</v>
      </c>
      <c r="H48">
        <v>3</v>
      </c>
      <c r="I48" t="s">
        <v>6</v>
      </c>
      <c r="J48" t="s">
        <v>29</v>
      </c>
      <c r="K48">
        <v>2.1</v>
      </c>
      <c r="L48">
        <v>366</v>
      </c>
      <c r="M48">
        <v>190.33</v>
      </c>
      <c r="N48">
        <v>570.99</v>
      </c>
    </row>
    <row r="49" spans="1:14">
      <c r="A49">
        <v>48</v>
      </c>
      <c r="B49" s="1">
        <v>44582</v>
      </c>
      <c r="C49" s="2">
        <f t="shared" si="0"/>
        <v>1</v>
      </c>
      <c r="D49">
        <v>2748</v>
      </c>
      <c r="E49" t="s">
        <v>9</v>
      </c>
      <c r="F49">
        <v>181.94</v>
      </c>
      <c r="G49">
        <v>5</v>
      </c>
      <c r="H49">
        <v>2</v>
      </c>
      <c r="I49" t="s">
        <v>3</v>
      </c>
      <c r="J49" t="s">
        <v>27</v>
      </c>
      <c r="K49">
        <v>4.2</v>
      </c>
      <c r="L49">
        <v>5</v>
      </c>
      <c r="M49">
        <v>172.84</v>
      </c>
      <c r="N49">
        <v>345.68</v>
      </c>
    </row>
    <row r="50" spans="1:14">
      <c r="A50">
        <v>49</v>
      </c>
      <c r="B50" s="1">
        <v>44728</v>
      </c>
      <c r="C50" s="2">
        <f t="shared" si="0"/>
        <v>6</v>
      </c>
      <c r="D50">
        <v>3762</v>
      </c>
      <c r="E50" t="s">
        <v>9</v>
      </c>
      <c r="F50">
        <v>146</v>
      </c>
      <c r="G50">
        <v>15</v>
      </c>
      <c r="H50">
        <v>2</v>
      </c>
      <c r="I50" t="s">
        <v>3</v>
      </c>
      <c r="J50" t="s">
        <v>30</v>
      </c>
      <c r="K50">
        <v>4.5</v>
      </c>
      <c r="L50">
        <v>157</v>
      </c>
      <c r="M50">
        <v>124.1</v>
      </c>
      <c r="N50">
        <v>248.2</v>
      </c>
    </row>
    <row r="51" spans="1:14">
      <c r="A51">
        <v>50</v>
      </c>
      <c r="B51" s="1">
        <v>44835</v>
      </c>
      <c r="C51" s="2">
        <f t="shared" si="0"/>
        <v>10</v>
      </c>
      <c r="D51">
        <v>4468</v>
      </c>
      <c r="E51" t="s">
        <v>10</v>
      </c>
      <c r="F51">
        <v>138.96</v>
      </c>
      <c r="G51">
        <v>20</v>
      </c>
      <c r="H51">
        <v>1</v>
      </c>
      <c r="I51" t="s">
        <v>5</v>
      </c>
      <c r="J51" t="s">
        <v>29</v>
      </c>
      <c r="K51">
        <v>3.4</v>
      </c>
      <c r="L51">
        <v>451</v>
      </c>
      <c r="M51">
        <v>111.17</v>
      </c>
      <c r="N51">
        <v>111.17</v>
      </c>
    </row>
    <row r="52" spans="1:14">
      <c r="A52">
        <v>51</v>
      </c>
      <c r="B52" s="1">
        <v>44949</v>
      </c>
      <c r="C52" s="2">
        <f t="shared" si="0"/>
        <v>1</v>
      </c>
      <c r="D52">
        <v>3301</v>
      </c>
      <c r="E52" t="s">
        <v>9</v>
      </c>
      <c r="F52">
        <v>254.57</v>
      </c>
      <c r="G52">
        <v>15</v>
      </c>
      <c r="H52">
        <v>3</v>
      </c>
      <c r="I52" t="s">
        <v>5</v>
      </c>
      <c r="J52" t="s">
        <v>29</v>
      </c>
      <c r="K52">
        <v>2.5</v>
      </c>
      <c r="L52">
        <v>361</v>
      </c>
      <c r="M52">
        <v>216.38</v>
      </c>
      <c r="N52">
        <v>649.14</v>
      </c>
    </row>
    <row r="53" spans="1:14">
      <c r="A53">
        <v>52</v>
      </c>
      <c r="B53" s="1">
        <v>45162</v>
      </c>
      <c r="C53" s="2">
        <f t="shared" si="0"/>
        <v>8</v>
      </c>
      <c r="D53">
        <v>1567</v>
      </c>
      <c r="E53" t="s">
        <v>11</v>
      </c>
      <c r="F53">
        <v>15.72</v>
      </c>
      <c r="G53">
        <v>20</v>
      </c>
      <c r="H53">
        <v>2</v>
      </c>
      <c r="I53" t="s">
        <v>3</v>
      </c>
      <c r="J53" t="s">
        <v>30</v>
      </c>
      <c r="K53">
        <v>3.3</v>
      </c>
      <c r="L53">
        <v>429</v>
      </c>
      <c r="M53">
        <v>12.58</v>
      </c>
      <c r="N53">
        <v>25.16</v>
      </c>
    </row>
    <row r="54" spans="1:14">
      <c r="A54">
        <v>53</v>
      </c>
      <c r="B54" s="1">
        <v>44877</v>
      </c>
      <c r="C54" s="2">
        <f t="shared" si="0"/>
        <v>11</v>
      </c>
      <c r="D54">
        <v>1322</v>
      </c>
      <c r="E54" t="s">
        <v>10</v>
      </c>
      <c r="F54">
        <v>57.51</v>
      </c>
      <c r="G54">
        <v>5</v>
      </c>
      <c r="H54">
        <v>3</v>
      </c>
      <c r="I54" t="s">
        <v>3</v>
      </c>
      <c r="J54" t="s">
        <v>29</v>
      </c>
      <c r="K54">
        <v>2</v>
      </c>
      <c r="L54">
        <v>178</v>
      </c>
      <c r="M54">
        <v>54.63</v>
      </c>
      <c r="N54">
        <v>163.89</v>
      </c>
    </row>
    <row r="55" spans="1:14">
      <c r="A55">
        <v>54</v>
      </c>
      <c r="B55" s="1">
        <v>44575</v>
      </c>
      <c r="C55" s="2">
        <f t="shared" si="0"/>
        <v>1</v>
      </c>
      <c r="D55">
        <v>3060</v>
      </c>
      <c r="E55" t="s">
        <v>8</v>
      </c>
      <c r="F55">
        <v>165.98</v>
      </c>
      <c r="G55">
        <v>5</v>
      </c>
      <c r="H55">
        <v>1</v>
      </c>
      <c r="I55" t="s">
        <v>3</v>
      </c>
      <c r="J55" t="s">
        <v>26</v>
      </c>
      <c r="K55">
        <v>3.6</v>
      </c>
      <c r="L55">
        <v>348</v>
      </c>
      <c r="M55">
        <v>157.68</v>
      </c>
      <c r="N55">
        <v>157.68</v>
      </c>
    </row>
    <row r="56" spans="1:14">
      <c r="A56">
        <v>55</v>
      </c>
      <c r="B56" s="1">
        <v>44803</v>
      </c>
      <c r="C56" s="2">
        <f t="shared" si="0"/>
        <v>8</v>
      </c>
      <c r="D56">
        <v>3097</v>
      </c>
      <c r="E56" t="s">
        <v>9</v>
      </c>
      <c r="F56">
        <v>242.51</v>
      </c>
      <c r="G56">
        <v>5</v>
      </c>
      <c r="H56">
        <v>2</v>
      </c>
      <c r="I56" t="s">
        <v>3</v>
      </c>
      <c r="J56" t="s">
        <v>29</v>
      </c>
      <c r="K56">
        <v>4.0999999999999996</v>
      </c>
      <c r="L56">
        <v>201</v>
      </c>
      <c r="M56">
        <v>230.38</v>
      </c>
      <c r="N56">
        <v>460.76</v>
      </c>
    </row>
    <row r="57" spans="1:14">
      <c r="A57">
        <v>56</v>
      </c>
      <c r="B57" s="1">
        <v>44907</v>
      </c>
      <c r="C57" s="2">
        <f t="shared" si="0"/>
        <v>12</v>
      </c>
      <c r="D57">
        <v>2783</v>
      </c>
      <c r="E57" t="s">
        <v>9</v>
      </c>
      <c r="F57">
        <v>348.44</v>
      </c>
      <c r="G57">
        <v>20</v>
      </c>
      <c r="H57">
        <v>4</v>
      </c>
      <c r="I57" t="s">
        <v>6</v>
      </c>
      <c r="J57" t="s">
        <v>29</v>
      </c>
      <c r="K57">
        <v>1.2</v>
      </c>
      <c r="L57">
        <v>57</v>
      </c>
      <c r="M57">
        <v>278.75</v>
      </c>
      <c r="N57">
        <v>1115</v>
      </c>
    </row>
    <row r="58" spans="1:14">
      <c r="A58">
        <v>57</v>
      </c>
      <c r="B58" s="1">
        <v>45126</v>
      </c>
      <c r="C58" s="2">
        <f t="shared" si="0"/>
        <v>7</v>
      </c>
      <c r="D58">
        <v>4304</v>
      </c>
      <c r="E58" t="s">
        <v>11</v>
      </c>
      <c r="F58">
        <v>150.09</v>
      </c>
      <c r="G58">
        <v>10</v>
      </c>
      <c r="H58">
        <v>4</v>
      </c>
      <c r="I58" t="s">
        <v>4</v>
      </c>
      <c r="J58" t="s">
        <v>29</v>
      </c>
      <c r="K58">
        <v>2.2999999999999998</v>
      </c>
      <c r="L58">
        <v>363</v>
      </c>
      <c r="M58">
        <v>135.08000000000001</v>
      </c>
      <c r="N58">
        <v>540.32000000000005</v>
      </c>
    </row>
    <row r="59" spans="1:14">
      <c r="A59">
        <v>58</v>
      </c>
      <c r="B59" s="1">
        <v>44901</v>
      </c>
      <c r="C59" s="2">
        <f t="shared" si="0"/>
        <v>12</v>
      </c>
      <c r="D59">
        <v>4000</v>
      </c>
      <c r="E59" t="s">
        <v>13</v>
      </c>
      <c r="F59">
        <v>335.19</v>
      </c>
      <c r="G59">
        <v>0</v>
      </c>
      <c r="H59">
        <v>4</v>
      </c>
      <c r="I59" t="s">
        <v>5</v>
      </c>
      <c r="J59" t="s">
        <v>28</v>
      </c>
      <c r="K59">
        <v>3.1</v>
      </c>
      <c r="L59">
        <v>389</v>
      </c>
      <c r="M59">
        <v>335.19</v>
      </c>
      <c r="N59">
        <v>1340.76</v>
      </c>
    </row>
    <row r="60" spans="1:14">
      <c r="A60">
        <v>59</v>
      </c>
      <c r="B60" s="1">
        <v>44653</v>
      </c>
      <c r="C60" s="2">
        <f t="shared" si="0"/>
        <v>4</v>
      </c>
      <c r="D60">
        <v>4041</v>
      </c>
      <c r="E60" t="s">
        <v>11</v>
      </c>
      <c r="F60">
        <v>196.64</v>
      </c>
      <c r="G60">
        <v>20</v>
      </c>
      <c r="H60">
        <v>2</v>
      </c>
      <c r="I60" t="s">
        <v>3</v>
      </c>
      <c r="J60" t="s">
        <v>27</v>
      </c>
      <c r="K60">
        <v>2.1</v>
      </c>
      <c r="L60">
        <v>206</v>
      </c>
      <c r="M60">
        <v>157.31</v>
      </c>
      <c r="N60">
        <v>314.62</v>
      </c>
    </row>
    <row r="61" spans="1:14">
      <c r="A61">
        <v>60</v>
      </c>
      <c r="B61" s="1">
        <v>44928</v>
      </c>
      <c r="C61" s="2">
        <f t="shared" si="0"/>
        <v>1</v>
      </c>
      <c r="D61">
        <v>4611</v>
      </c>
      <c r="E61" t="s">
        <v>10</v>
      </c>
      <c r="F61">
        <v>388.49</v>
      </c>
      <c r="G61">
        <v>20</v>
      </c>
      <c r="H61">
        <v>5</v>
      </c>
      <c r="I61" t="s">
        <v>6</v>
      </c>
      <c r="J61" t="s">
        <v>28</v>
      </c>
      <c r="K61">
        <v>1.3</v>
      </c>
      <c r="L61">
        <v>220</v>
      </c>
      <c r="M61">
        <v>310.79000000000002</v>
      </c>
      <c r="N61">
        <v>1553.95</v>
      </c>
    </row>
    <row r="62" spans="1:14">
      <c r="A62">
        <v>61</v>
      </c>
      <c r="B62" s="1">
        <v>45016</v>
      </c>
      <c r="C62" s="2">
        <f t="shared" si="0"/>
        <v>3</v>
      </c>
      <c r="D62">
        <v>3663</v>
      </c>
      <c r="E62" t="s">
        <v>8</v>
      </c>
      <c r="F62">
        <v>242.91</v>
      </c>
      <c r="G62">
        <v>10</v>
      </c>
      <c r="H62">
        <v>2</v>
      </c>
      <c r="I62" t="s">
        <v>3</v>
      </c>
      <c r="J62" t="s">
        <v>28</v>
      </c>
      <c r="K62">
        <v>3.2</v>
      </c>
      <c r="L62">
        <v>286</v>
      </c>
      <c r="M62">
        <v>218.62</v>
      </c>
      <c r="N62">
        <v>437.24</v>
      </c>
    </row>
    <row r="63" spans="1:14">
      <c r="A63">
        <v>62</v>
      </c>
      <c r="B63" s="1">
        <v>44989</v>
      </c>
      <c r="C63" s="2">
        <f t="shared" si="0"/>
        <v>3</v>
      </c>
      <c r="D63">
        <v>3913</v>
      </c>
      <c r="E63" t="s">
        <v>13</v>
      </c>
      <c r="F63">
        <v>272.99</v>
      </c>
      <c r="G63">
        <v>30</v>
      </c>
      <c r="H63">
        <v>1</v>
      </c>
      <c r="I63" t="s">
        <v>5</v>
      </c>
      <c r="J63" t="s">
        <v>29</v>
      </c>
      <c r="K63">
        <v>4.5999999999999996</v>
      </c>
      <c r="L63">
        <v>389</v>
      </c>
      <c r="M63">
        <v>191.09</v>
      </c>
      <c r="N63">
        <v>191.09</v>
      </c>
    </row>
    <row r="64" spans="1:14">
      <c r="A64">
        <v>63</v>
      </c>
      <c r="B64" s="1">
        <v>45070</v>
      </c>
      <c r="C64" s="2">
        <f t="shared" si="0"/>
        <v>5</v>
      </c>
      <c r="D64">
        <v>3143</v>
      </c>
      <c r="E64" t="s">
        <v>13</v>
      </c>
      <c r="F64">
        <v>220.36</v>
      </c>
      <c r="G64">
        <v>5</v>
      </c>
      <c r="H64">
        <v>4</v>
      </c>
      <c r="I64" t="s">
        <v>5</v>
      </c>
      <c r="J64" t="s">
        <v>29</v>
      </c>
      <c r="K64">
        <v>3.9</v>
      </c>
      <c r="L64">
        <v>208</v>
      </c>
      <c r="M64">
        <v>209.34</v>
      </c>
      <c r="N64">
        <v>837.36</v>
      </c>
    </row>
    <row r="65" spans="1:14">
      <c r="A65">
        <v>64</v>
      </c>
      <c r="B65" s="1">
        <v>44596</v>
      </c>
      <c r="C65" s="2">
        <f t="shared" si="0"/>
        <v>2</v>
      </c>
      <c r="D65">
        <v>1342</v>
      </c>
      <c r="E65" t="s">
        <v>11</v>
      </c>
      <c r="F65">
        <v>70.78</v>
      </c>
      <c r="G65">
        <v>15</v>
      </c>
      <c r="H65">
        <v>1</v>
      </c>
      <c r="I65" t="s">
        <v>4</v>
      </c>
      <c r="J65" t="s">
        <v>26</v>
      </c>
      <c r="K65">
        <v>2.4</v>
      </c>
      <c r="L65">
        <v>486</v>
      </c>
      <c r="M65">
        <v>60.16</v>
      </c>
      <c r="N65">
        <v>60.16</v>
      </c>
    </row>
    <row r="66" spans="1:14">
      <c r="A66">
        <v>65</v>
      </c>
      <c r="B66" s="1">
        <v>44767</v>
      </c>
      <c r="C66" s="2">
        <f t="shared" si="0"/>
        <v>7</v>
      </c>
      <c r="D66">
        <v>3903</v>
      </c>
      <c r="E66" t="s">
        <v>11</v>
      </c>
      <c r="F66">
        <v>89.73</v>
      </c>
      <c r="G66">
        <v>0</v>
      </c>
      <c r="H66">
        <v>5</v>
      </c>
      <c r="I66" t="s">
        <v>3</v>
      </c>
      <c r="J66" t="s">
        <v>29</v>
      </c>
      <c r="K66">
        <v>4.3</v>
      </c>
      <c r="L66">
        <v>399</v>
      </c>
      <c r="M66">
        <v>89.73</v>
      </c>
      <c r="N66">
        <v>448.65</v>
      </c>
    </row>
    <row r="67" spans="1:14">
      <c r="A67">
        <v>66</v>
      </c>
      <c r="B67" s="1">
        <v>44642</v>
      </c>
      <c r="C67" s="2">
        <f t="shared" ref="C67:C130" si="1">MONTH(B67)</f>
        <v>3</v>
      </c>
      <c r="D67">
        <v>3240</v>
      </c>
      <c r="E67" t="s">
        <v>8</v>
      </c>
      <c r="F67">
        <v>203.24</v>
      </c>
      <c r="G67">
        <v>10</v>
      </c>
      <c r="H67">
        <v>3</v>
      </c>
      <c r="I67" t="s">
        <v>6</v>
      </c>
      <c r="J67" t="s">
        <v>28</v>
      </c>
      <c r="K67">
        <v>4</v>
      </c>
      <c r="L67">
        <v>412</v>
      </c>
      <c r="M67">
        <v>182.92</v>
      </c>
      <c r="N67">
        <v>548.76</v>
      </c>
    </row>
    <row r="68" spans="1:14">
      <c r="A68">
        <v>67</v>
      </c>
      <c r="B68" s="1">
        <v>45123</v>
      </c>
      <c r="C68" s="2">
        <f t="shared" si="1"/>
        <v>7</v>
      </c>
      <c r="D68">
        <v>4991</v>
      </c>
      <c r="E68" t="s">
        <v>12</v>
      </c>
      <c r="F68">
        <v>53.92</v>
      </c>
      <c r="G68">
        <v>15</v>
      </c>
      <c r="H68">
        <v>1</v>
      </c>
      <c r="I68" t="s">
        <v>6</v>
      </c>
      <c r="J68" t="s">
        <v>26</v>
      </c>
      <c r="K68">
        <v>2.1</v>
      </c>
      <c r="L68">
        <v>286</v>
      </c>
      <c r="M68">
        <v>45.83</v>
      </c>
      <c r="N68">
        <v>45.83</v>
      </c>
    </row>
    <row r="69" spans="1:14">
      <c r="A69">
        <v>68</v>
      </c>
      <c r="B69" s="1">
        <v>44949</v>
      </c>
      <c r="C69" s="2">
        <f t="shared" si="1"/>
        <v>1</v>
      </c>
      <c r="D69">
        <v>3558</v>
      </c>
      <c r="E69" t="s">
        <v>10</v>
      </c>
      <c r="F69">
        <v>74.39</v>
      </c>
      <c r="G69">
        <v>15</v>
      </c>
      <c r="H69">
        <v>3</v>
      </c>
      <c r="I69" t="s">
        <v>5</v>
      </c>
      <c r="J69" t="s">
        <v>27</v>
      </c>
      <c r="K69">
        <v>5</v>
      </c>
      <c r="L69">
        <v>384</v>
      </c>
      <c r="M69">
        <v>63.23</v>
      </c>
      <c r="N69">
        <v>189.69</v>
      </c>
    </row>
    <row r="70" spans="1:14">
      <c r="A70">
        <v>69</v>
      </c>
      <c r="B70" s="1">
        <v>44563</v>
      </c>
      <c r="C70" s="2">
        <f t="shared" si="1"/>
        <v>1</v>
      </c>
      <c r="D70">
        <v>2474</v>
      </c>
      <c r="E70" t="s">
        <v>13</v>
      </c>
      <c r="F70">
        <v>313.75</v>
      </c>
      <c r="G70">
        <v>20</v>
      </c>
      <c r="H70">
        <v>2</v>
      </c>
      <c r="I70" t="s">
        <v>3</v>
      </c>
      <c r="J70" t="s">
        <v>29</v>
      </c>
      <c r="K70">
        <v>3.4</v>
      </c>
      <c r="L70">
        <v>25</v>
      </c>
      <c r="M70">
        <v>251</v>
      </c>
      <c r="N70">
        <v>502</v>
      </c>
    </row>
    <row r="71" spans="1:14">
      <c r="A71">
        <v>70</v>
      </c>
      <c r="B71" s="1">
        <v>44951</v>
      </c>
      <c r="C71" s="2">
        <f t="shared" si="1"/>
        <v>1</v>
      </c>
      <c r="D71">
        <v>2148</v>
      </c>
      <c r="E71" t="s">
        <v>12</v>
      </c>
      <c r="F71">
        <v>318.45</v>
      </c>
      <c r="G71">
        <v>0</v>
      </c>
      <c r="H71">
        <v>5</v>
      </c>
      <c r="I71" t="s">
        <v>3</v>
      </c>
      <c r="J71" t="s">
        <v>26</v>
      </c>
      <c r="K71">
        <v>1.1000000000000001</v>
      </c>
      <c r="L71">
        <v>337</v>
      </c>
      <c r="M71">
        <v>318.45</v>
      </c>
      <c r="N71">
        <v>1592.25</v>
      </c>
    </row>
    <row r="72" spans="1:14">
      <c r="A72">
        <v>71</v>
      </c>
      <c r="B72" s="1">
        <v>45127</v>
      </c>
      <c r="C72" s="2">
        <f t="shared" si="1"/>
        <v>7</v>
      </c>
      <c r="D72">
        <v>4152</v>
      </c>
      <c r="E72" t="s">
        <v>8</v>
      </c>
      <c r="F72">
        <v>68.08</v>
      </c>
      <c r="G72">
        <v>0</v>
      </c>
      <c r="H72">
        <v>4</v>
      </c>
      <c r="I72" t="s">
        <v>3</v>
      </c>
      <c r="J72" t="s">
        <v>29</v>
      </c>
      <c r="K72">
        <v>4</v>
      </c>
      <c r="L72">
        <v>0</v>
      </c>
      <c r="M72">
        <v>68.08</v>
      </c>
      <c r="N72">
        <v>272.32</v>
      </c>
    </row>
    <row r="73" spans="1:14">
      <c r="A73">
        <v>72</v>
      </c>
      <c r="B73" s="1">
        <v>44667</v>
      </c>
      <c r="C73" s="2">
        <f t="shared" si="1"/>
        <v>4</v>
      </c>
      <c r="D73">
        <v>1006</v>
      </c>
      <c r="E73" t="s">
        <v>13</v>
      </c>
      <c r="F73">
        <v>427.64</v>
      </c>
      <c r="G73">
        <v>0</v>
      </c>
      <c r="H73">
        <v>4</v>
      </c>
      <c r="I73" t="s">
        <v>5</v>
      </c>
      <c r="J73" t="s">
        <v>30</v>
      </c>
      <c r="K73">
        <v>3.5</v>
      </c>
      <c r="L73">
        <v>178</v>
      </c>
      <c r="M73">
        <v>427.64</v>
      </c>
      <c r="N73">
        <v>1710.56</v>
      </c>
    </row>
    <row r="74" spans="1:14">
      <c r="A74">
        <v>73</v>
      </c>
      <c r="B74" s="1">
        <v>45038</v>
      </c>
      <c r="C74" s="2">
        <f t="shared" si="1"/>
        <v>4</v>
      </c>
      <c r="D74">
        <v>1329</v>
      </c>
      <c r="E74" t="s">
        <v>13</v>
      </c>
      <c r="F74">
        <v>429.08</v>
      </c>
      <c r="G74">
        <v>30</v>
      </c>
      <c r="H74">
        <v>4</v>
      </c>
      <c r="I74" t="s">
        <v>6</v>
      </c>
      <c r="J74" t="s">
        <v>27</v>
      </c>
      <c r="K74">
        <v>3.7</v>
      </c>
      <c r="L74">
        <v>70</v>
      </c>
      <c r="M74">
        <v>300.36</v>
      </c>
      <c r="N74">
        <v>1201.44</v>
      </c>
    </row>
    <row r="75" spans="1:14">
      <c r="A75">
        <v>74</v>
      </c>
      <c r="B75" s="1">
        <v>45264</v>
      </c>
      <c r="C75" s="2">
        <f t="shared" si="1"/>
        <v>12</v>
      </c>
      <c r="D75">
        <v>1082</v>
      </c>
      <c r="E75" t="s">
        <v>9</v>
      </c>
      <c r="F75">
        <v>192.97</v>
      </c>
      <c r="G75">
        <v>10</v>
      </c>
      <c r="H75">
        <v>1</v>
      </c>
      <c r="I75" t="s">
        <v>6</v>
      </c>
      <c r="J75" t="s">
        <v>28</v>
      </c>
      <c r="K75">
        <v>4.3</v>
      </c>
      <c r="L75">
        <v>88</v>
      </c>
      <c r="M75">
        <v>173.67</v>
      </c>
      <c r="N75">
        <v>173.67</v>
      </c>
    </row>
    <row r="76" spans="1:14">
      <c r="A76">
        <v>75</v>
      </c>
      <c r="B76" s="1">
        <v>44963</v>
      </c>
      <c r="C76" s="2">
        <f t="shared" si="1"/>
        <v>2</v>
      </c>
      <c r="D76">
        <v>2559</v>
      </c>
      <c r="E76" t="s">
        <v>13</v>
      </c>
      <c r="F76">
        <v>251.49</v>
      </c>
      <c r="G76">
        <v>10</v>
      </c>
      <c r="H76">
        <v>1</v>
      </c>
      <c r="I76" t="s">
        <v>4</v>
      </c>
      <c r="J76" t="s">
        <v>29</v>
      </c>
      <c r="K76">
        <v>1.7</v>
      </c>
      <c r="L76">
        <v>212</v>
      </c>
      <c r="M76">
        <v>226.34</v>
      </c>
      <c r="N76">
        <v>226.34</v>
      </c>
    </row>
    <row r="77" spans="1:14">
      <c r="A77">
        <v>76</v>
      </c>
      <c r="B77" s="1">
        <v>45291</v>
      </c>
      <c r="C77" s="2">
        <f t="shared" si="1"/>
        <v>12</v>
      </c>
      <c r="D77">
        <v>3952</v>
      </c>
      <c r="E77" t="s">
        <v>10</v>
      </c>
      <c r="F77">
        <v>401.77</v>
      </c>
      <c r="G77">
        <v>20</v>
      </c>
      <c r="H77">
        <v>2</v>
      </c>
      <c r="I77" t="s">
        <v>6</v>
      </c>
      <c r="J77" t="s">
        <v>26</v>
      </c>
      <c r="K77">
        <v>4.5999999999999996</v>
      </c>
      <c r="L77">
        <v>38</v>
      </c>
      <c r="M77">
        <v>321.42</v>
      </c>
      <c r="N77">
        <v>642.84</v>
      </c>
    </row>
    <row r="78" spans="1:14">
      <c r="A78">
        <v>77</v>
      </c>
      <c r="B78" s="1">
        <v>45117</v>
      </c>
      <c r="C78" s="2">
        <f t="shared" si="1"/>
        <v>7</v>
      </c>
      <c r="D78">
        <v>3673</v>
      </c>
      <c r="E78" t="s">
        <v>8</v>
      </c>
      <c r="F78">
        <v>382.54</v>
      </c>
      <c r="G78">
        <v>0</v>
      </c>
      <c r="H78">
        <v>4</v>
      </c>
      <c r="I78" t="s">
        <v>4</v>
      </c>
      <c r="J78" t="s">
        <v>29</v>
      </c>
      <c r="K78">
        <v>3.7</v>
      </c>
      <c r="L78">
        <v>92</v>
      </c>
      <c r="M78">
        <v>382.54</v>
      </c>
      <c r="N78">
        <v>1530.16</v>
      </c>
    </row>
    <row r="79" spans="1:14">
      <c r="A79">
        <v>78</v>
      </c>
      <c r="B79" s="1">
        <v>44723</v>
      </c>
      <c r="C79" s="2">
        <f t="shared" si="1"/>
        <v>6</v>
      </c>
      <c r="D79">
        <v>1526</v>
      </c>
      <c r="E79" t="s">
        <v>8</v>
      </c>
      <c r="F79">
        <v>184.56</v>
      </c>
      <c r="G79">
        <v>15</v>
      </c>
      <c r="H79">
        <v>2</v>
      </c>
      <c r="I79" t="s">
        <v>3</v>
      </c>
      <c r="J79" t="s">
        <v>27</v>
      </c>
      <c r="K79">
        <v>2.5</v>
      </c>
      <c r="L79">
        <v>261</v>
      </c>
      <c r="M79">
        <v>156.88</v>
      </c>
      <c r="N79">
        <v>313.76</v>
      </c>
    </row>
    <row r="80" spans="1:14">
      <c r="A80">
        <v>79</v>
      </c>
      <c r="B80" s="1">
        <v>44763</v>
      </c>
      <c r="C80" s="2">
        <f t="shared" si="1"/>
        <v>7</v>
      </c>
      <c r="D80">
        <v>2136</v>
      </c>
      <c r="E80" t="s">
        <v>13</v>
      </c>
      <c r="F80">
        <v>161.96</v>
      </c>
      <c r="G80">
        <v>5</v>
      </c>
      <c r="H80">
        <v>5</v>
      </c>
      <c r="I80" t="s">
        <v>5</v>
      </c>
      <c r="J80" t="s">
        <v>29</v>
      </c>
      <c r="K80">
        <v>2.2000000000000002</v>
      </c>
      <c r="L80">
        <v>3</v>
      </c>
      <c r="M80">
        <v>153.86000000000001</v>
      </c>
      <c r="N80">
        <v>769.3</v>
      </c>
    </row>
    <row r="81" spans="1:14">
      <c r="A81">
        <v>80</v>
      </c>
      <c r="B81" s="1">
        <v>44831</v>
      </c>
      <c r="C81" s="2">
        <f t="shared" si="1"/>
        <v>9</v>
      </c>
      <c r="D81">
        <v>3487</v>
      </c>
      <c r="E81" t="s">
        <v>10</v>
      </c>
      <c r="F81">
        <v>333.85</v>
      </c>
      <c r="G81">
        <v>20</v>
      </c>
      <c r="H81">
        <v>3</v>
      </c>
      <c r="I81" t="s">
        <v>5</v>
      </c>
      <c r="J81" t="s">
        <v>29</v>
      </c>
      <c r="K81">
        <v>1.2</v>
      </c>
      <c r="L81">
        <v>405</v>
      </c>
      <c r="M81">
        <v>267.08</v>
      </c>
      <c r="N81">
        <v>801.24</v>
      </c>
    </row>
    <row r="82" spans="1:14">
      <c r="A82">
        <v>81</v>
      </c>
      <c r="B82" s="1">
        <v>44832</v>
      </c>
      <c r="C82" s="2">
        <f t="shared" si="1"/>
        <v>9</v>
      </c>
      <c r="D82">
        <v>1889</v>
      </c>
      <c r="E82" t="s">
        <v>12</v>
      </c>
      <c r="F82">
        <v>184.94</v>
      </c>
      <c r="G82">
        <v>5</v>
      </c>
      <c r="H82">
        <v>2</v>
      </c>
      <c r="I82" t="s">
        <v>6</v>
      </c>
      <c r="J82" t="s">
        <v>28</v>
      </c>
      <c r="K82">
        <v>3.9</v>
      </c>
      <c r="L82">
        <v>479</v>
      </c>
      <c r="M82">
        <v>175.69</v>
      </c>
      <c r="N82">
        <v>351.38</v>
      </c>
    </row>
    <row r="83" spans="1:14">
      <c r="A83">
        <v>82</v>
      </c>
      <c r="B83" s="1">
        <v>45017</v>
      </c>
      <c r="C83" s="2">
        <f t="shared" si="1"/>
        <v>4</v>
      </c>
      <c r="D83">
        <v>4925</v>
      </c>
      <c r="E83" t="s">
        <v>9</v>
      </c>
      <c r="F83">
        <v>346.28</v>
      </c>
      <c r="G83">
        <v>5</v>
      </c>
      <c r="H83">
        <v>4</v>
      </c>
      <c r="I83" t="s">
        <v>4</v>
      </c>
      <c r="J83" t="s">
        <v>29</v>
      </c>
      <c r="K83">
        <v>4.2</v>
      </c>
      <c r="L83">
        <v>477</v>
      </c>
      <c r="M83">
        <v>328.97</v>
      </c>
      <c r="N83">
        <v>1315.88</v>
      </c>
    </row>
    <row r="84" spans="1:14">
      <c r="A84">
        <v>83</v>
      </c>
      <c r="B84" s="1">
        <v>45023</v>
      </c>
      <c r="C84" s="2">
        <f t="shared" si="1"/>
        <v>4</v>
      </c>
      <c r="D84">
        <v>1761</v>
      </c>
      <c r="E84" t="s">
        <v>12</v>
      </c>
      <c r="F84">
        <v>69.16</v>
      </c>
      <c r="G84">
        <v>20</v>
      </c>
      <c r="H84">
        <v>1</v>
      </c>
      <c r="I84" t="s">
        <v>6</v>
      </c>
      <c r="J84" t="s">
        <v>27</v>
      </c>
      <c r="K84">
        <v>3</v>
      </c>
      <c r="L84">
        <v>492</v>
      </c>
      <c r="M84">
        <v>55.33</v>
      </c>
      <c r="N84">
        <v>55.33</v>
      </c>
    </row>
    <row r="85" spans="1:14">
      <c r="A85">
        <v>84</v>
      </c>
      <c r="B85" s="1">
        <v>45288</v>
      </c>
      <c r="C85" s="2">
        <f t="shared" si="1"/>
        <v>12</v>
      </c>
      <c r="D85">
        <v>2023</v>
      </c>
      <c r="E85" t="s">
        <v>11</v>
      </c>
      <c r="F85">
        <v>337.66</v>
      </c>
      <c r="G85">
        <v>0</v>
      </c>
      <c r="H85">
        <v>2</v>
      </c>
      <c r="I85" t="s">
        <v>3</v>
      </c>
      <c r="J85" t="s">
        <v>29</v>
      </c>
      <c r="K85">
        <v>2.6</v>
      </c>
      <c r="L85">
        <v>316</v>
      </c>
      <c r="M85">
        <v>337.66</v>
      </c>
      <c r="N85">
        <v>675.32</v>
      </c>
    </row>
    <row r="86" spans="1:14">
      <c r="A86">
        <v>85</v>
      </c>
      <c r="B86" s="1">
        <v>44813</v>
      </c>
      <c r="C86" s="2">
        <f t="shared" si="1"/>
        <v>9</v>
      </c>
      <c r="D86">
        <v>2680</v>
      </c>
      <c r="E86" t="s">
        <v>12</v>
      </c>
      <c r="F86">
        <v>393.65</v>
      </c>
      <c r="G86">
        <v>10</v>
      </c>
      <c r="H86">
        <v>3</v>
      </c>
      <c r="I86" t="s">
        <v>5</v>
      </c>
      <c r="J86" t="s">
        <v>29</v>
      </c>
      <c r="K86">
        <v>1.2</v>
      </c>
      <c r="L86">
        <v>112</v>
      </c>
      <c r="M86">
        <v>354.28</v>
      </c>
      <c r="N86">
        <v>1062.8399999999999</v>
      </c>
    </row>
    <row r="87" spans="1:14">
      <c r="A87">
        <v>86</v>
      </c>
      <c r="B87" s="1">
        <v>45263</v>
      </c>
      <c r="C87" s="2">
        <f t="shared" si="1"/>
        <v>12</v>
      </c>
      <c r="D87">
        <v>3066</v>
      </c>
      <c r="E87" t="s">
        <v>11</v>
      </c>
      <c r="F87">
        <v>452.78</v>
      </c>
      <c r="G87">
        <v>20</v>
      </c>
      <c r="H87">
        <v>5</v>
      </c>
      <c r="I87" t="s">
        <v>6</v>
      </c>
      <c r="J87" t="s">
        <v>26</v>
      </c>
      <c r="K87">
        <v>2.4</v>
      </c>
      <c r="L87">
        <v>102</v>
      </c>
      <c r="M87">
        <v>362.22</v>
      </c>
      <c r="N87">
        <v>1811.1</v>
      </c>
    </row>
    <row r="88" spans="1:14">
      <c r="A88">
        <v>87</v>
      </c>
      <c r="B88" s="1">
        <v>44857</v>
      </c>
      <c r="C88" s="2">
        <f t="shared" si="1"/>
        <v>10</v>
      </c>
      <c r="D88">
        <v>3056</v>
      </c>
      <c r="E88" t="s">
        <v>10</v>
      </c>
      <c r="F88">
        <v>230.81</v>
      </c>
      <c r="G88">
        <v>15</v>
      </c>
      <c r="H88">
        <v>2</v>
      </c>
      <c r="I88" t="s">
        <v>5</v>
      </c>
      <c r="J88" t="s">
        <v>27</v>
      </c>
      <c r="K88">
        <v>4.7</v>
      </c>
      <c r="L88">
        <v>313</v>
      </c>
      <c r="M88">
        <v>196.19</v>
      </c>
      <c r="N88">
        <v>392.38</v>
      </c>
    </row>
    <row r="89" spans="1:14">
      <c r="A89">
        <v>88</v>
      </c>
      <c r="B89" s="1">
        <v>45286</v>
      </c>
      <c r="C89" s="2">
        <f t="shared" si="1"/>
        <v>12</v>
      </c>
      <c r="D89">
        <v>2855</v>
      </c>
      <c r="E89" t="s">
        <v>13</v>
      </c>
      <c r="F89">
        <v>282.35000000000002</v>
      </c>
      <c r="G89">
        <v>15</v>
      </c>
      <c r="H89">
        <v>2</v>
      </c>
      <c r="I89" t="s">
        <v>6</v>
      </c>
      <c r="J89" t="s">
        <v>27</v>
      </c>
      <c r="K89">
        <v>2.5</v>
      </c>
      <c r="L89">
        <v>3</v>
      </c>
      <c r="M89">
        <v>240</v>
      </c>
      <c r="N89">
        <v>480</v>
      </c>
    </row>
    <row r="90" spans="1:14">
      <c r="A90">
        <v>89</v>
      </c>
      <c r="B90" s="1">
        <v>45281</v>
      </c>
      <c r="C90" s="2">
        <f t="shared" si="1"/>
        <v>12</v>
      </c>
      <c r="D90">
        <v>4256</v>
      </c>
      <c r="E90" t="s">
        <v>11</v>
      </c>
      <c r="F90">
        <v>148.01</v>
      </c>
      <c r="G90">
        <v>20</v>
      </c>
      <c r="H90">
        <v>2</v>
      </c>
      <c r="I90" t="s">
        <v>3</v>
      </c>
      <c r="J90" t="s">
        <v>26</v>
      </c>
      <c r="K90">
        <v>3.2</v>
      </c>
      <c r="L90">
        <v>295</v>
      </c>
      <c r="M90">
        <v>118.41</v>
      </c>
      <c r="N90">
        <v>236.82</v>
      </c>
    </row>
    <row r="91" spans="1:14">
      <c r="A91">
        <v>90</v>
      </c>
      <c r="B91" s="1">
        <v>44899</v>
      </c>
      <c r="C91" s="2">
        <f t="shared" si="1"/>
        <v>12</v>
      </c>
      <c r="D91">
        <v>2061</v>
      </c>
      <c r="E91" t="s">
        <v>8</v>
      </c>
      <c r="F91">
        <v>79.489999999999995</v>
      </c>
      <c r="G91">
        <v>20</v>
      </c>
      <c r="H91">
        <v>3</v>
      </c>
      <c r="I91" t="s">
        <v>5</v>
      </c>
      <c r="J91" t="s">
        <v>28</v>
      </c>
      <c r="K91">
        <v>4.4000000000000004</v>
      </c>
      <c r="L91">
        <v>472</v>
      </c>
      <c r="M91">
        <v>63.59</v>
      </c>
      <c r="N91">
        <v>190.77</v>
      </c>
    </row>
    <row r="92" spans="1:14">
      <c r="A92">
        <v>91</v>
      </c>
      <c r="B92" s="1">
        <v>44614</v>
      </c>
      <c r="C92" s="2">
        <f t="shared" si="1"/>
        <v>2</v>
      </c>
      <c r="D92">
        <v>3770</v>
      </c>
      <c r="E92" t="s">
        <v>13</v>
      </c>
      <c r="F92">
        <v>90.69</v>
      </c>
      <c r="G92">
        <v>30</v>
      </c>
      <c r="H92">
        <v>5</v>
      </c>
      <c r="I92" t="s">
        <v>6</v>
      </c>
      <c r="J92" t="s">
        <v>28</v>
      </c>
      <c r="K92">
        <v>3.1</v>
      </c>
      <c r="L92">
        <v>376</v>
      </c>
      <c r="M92">
        <v>63.48</v>
      </c>
      <c r="N92">
        <v>317.39999999999998</v>
      </c>
    </row>
    <row r="93" spans="1:14">
      <c r="A93">
        <v>92</v>
      </c>
      <c r="B93" s="1">
        <v>44778</v>
      </c>
      <c r="C93" s="2">
        <f t="shared" si="1"/>
        <v>8</v>
      </c>
      <c r="D93">
        <v>1903</v>
      </c>
      <c r="E93" t="s">
        <v>13</v>
      </c>
      <c r="F93">
        <v>423.06</v>
      </c>
      <c r="G93">
        <v>30</v>
      </c>
      <c r="H93">
        <v>5</v>
      </c>
      <c r="I93" t="s">
        <v>4</v>
      </c>
      <c r="J93" t="s">
        <v>26</v>
      </c>
      <c r="K93">
        <v>2</v>
      </c>
      <c r="L93">
        <v>312</v>
      </c>
      <c r="M93">
        <v>296.14</v>
      </c>
      <c r="N93">
        <v>1480.7</v>
      </c>
    </row>
    <row r="94" spans="1:14">
      <c r="A94">
        <v>93</v>
      </c>
      <c r="B94" s="1">
        <v>44749</v>
      </c>
      <c r="C94" s="2">
        <f t="shared" si="1"/>
        <v>7</v>
      </c>
      <c r="D94">
        <v>1133</v>
      </c>
      <c r="E94" t="s">
        <v>13</v>
      </c>
      <c r="F94">
        <v>273.02999999999997</v>
      </c>
      <c r="G94">
        <v>5</v>
      </c>
      <c r="H94">
        <v>4</v>
      </c>
      <c r="I94" t="s">
        <v>6</v>
      </c>
      <c r="J94" t="s">
        <v>30</v>
      </c>
      <c r="K94">
        <v>3</v>
      </c>
      <c r="L94">
        <v>361</v>
      </c>
      <c r="M94">
        <v>259.38</v>
      </c>
      <c r="N94">
        <v>1037.52</v>
      </c>
    </row>
    <row r="95" spans="1:14">
      <c r="A95">
        <v>94</v>
      </c>
      <c r="B95" s="1">
        <v>44941</v>
      </c>
      <c r="C95" s="2">
        <f t="shared" si="1"/>
        <v>1</v>
      </c>
      <c r="D95">
        <v>2968</v>
      </c>
      <c r="E95" t="s">
        <v>11</v>
      </c>
      <c r="F95">
        <v>191.27</v>
      </c>
      <c r="G95">
        <v>10</v>
      </c>
      <c r="H95">
        <v>2</v>
      </c>
      <c r="I95" t="s">
        <v>4</v>
      </c>
      <c r="J95" t="s">
        <v>29</v>
      </c>
      <c r="K95">
        <v>1.5</v>
      </c>
      <c r="L95">
        <v>294</v>
      </c>
      <c r="M95">
        <v>172.14</v>
      </c>
      <c r="N95">
        <v>344.28</v>
      </c>
    </row>
    <row r="96" spans="1:14">
      <c r="A96">
        <v>95</v>
      </c>
      <c r="B96" s="1">
        <v>45054</v>
      </c>
      <c r="C96" s="2">
        <f t="shared" si="1"/>
        <v>5</v>
      </c>
      <c r="D96">
        <v>2125</v>
      </c>
      <c r="E96" t="s">
        <v>8</v>
      </c>
      <c r="F96">
        <v>432.66</v>
      </c>
      <c r="G96">
        <v>0</v>
      </c>
      <c r="H96">
        <v>4</v>
      </c>
      <c r="I96" t="s">
        <v>5</v>
      </c>
      <c r="J96" t="s">
        <v>28</v>
      </c>
      <c r="K96">
        <v>3.4</v>
      </c>
      <c r="L96">
        <v>252</v>
      </c>
      <c r="M96">
        <v>432.66</v>
      </c>
      <c r="N96">
        <v>1730.64</v>
      </c>
    </row>
    <row r="97" spans="1:14">
      <c r="A97">
        <v>96</v>
      </c>
      <c r="B97" s="1">
        <v>44602</v>
      </c>
      <c r="C97" s="2">
        <f t="shared" si="1"/>
        <v>2</v>
      </c>
      <c r="D97">
        <v>2964</v>
      </c>
      <c r="E97" t="s">
        <v>8</v>
      </c>
      <c r="F97">
        <v>61.33</v>
      </c>
      <c r="G97">
        <v>15</v>
      </c>
      <c r="H97">
        <v>3</v>
      </c>
      <c r="I97" t="s">
        <v>5</v>
      </c>
      <c r="J97" t="s">
        <v>27</v>
      </c>
      <c r="K97">
        <v>4.0999999999999996</v>
      </c>
      <c r="L97">
        <v>418</v>
      </c>
      <c r="M97">
        <v>52.13</v>
      </c>
      <c r="N97">
        <v>156.38999999999999</v>
      </c>
    </row>
    <row r="98" spans="1:14">
      <c r="A98">
        <v>97</v>
      </c>
      <c r="B98" s="1">
        <v>44718</v>
      </c>
      <c r="C98" s="2">
        <f t="shared" si="1"/>
        <v>6</v>
      </c>
      <c r="D98">
        <v>2172</v>
      </c>
      <c r="E98" t="s">
        <v>12</v>
      </c>
      <c r="F98">
        <v>299.14</v>
      </c>
      <c r="G98">
        <v>30</v>
      </c>
      <c r="H98">
        <v>5</v>
      </c>
      <c r="I98" t="s">
        <v>4</v>
      </c>
      <c r="J98" t="s">
        <v>27</v>
      </c>
      <c r="K98">
        <v>1.9</v>
      </c>
      <c r="L98">
        <v>223</v>
      </c>
      <c r="M98">
        <v>209.4</v>
      </c>
      <c r="N98">
        <v>1047</v>
      </c>
    </row>
    <row r="99" spans="1:14">
      <c r="A99">
        <v>98</v>
      </c>
      <c r="B99" s="1">
        <v>44576</v>
      </c>
      <c r="C99" s="2">
        <f t="shared" si="1"/>
        <v>1</v>
      </c>
      <c r="D99">
        <v>3039</v>
      </c>
      <c r="E99" t="s">
        <v>13</v>
      </c>
      <c r="F99">
        <v>396.42</v>
      </c>
      <c r="G99">
        <v>10</v>
      </c>
      <c r="H99">
        <v>3</v>
      </c>
      <c r="I99" t="s">
        <v>6</v>
      </c>
      <c r="J99" t="s">
        <v>26</v>
      </c>
      <c r="K99">
        <v>2.2000000000000002</v>
      </c>
      <c r="L99">
        <v>213</v>
      </c>
      <c r="M99">
        <v>356.78</v>
      </c>
      <c r="N99">
        <v>1070.3399999999999</v>
      </c>
    </row>
    <row r="100" spans="1:14">
      <c r="A100">
        <v>99</v>
      </c>
      <c r="B100" s="1">
        <v>44626</v>
      </c>
      <c r="C100" s="2">
        <f t="shared" si="1"/>
        <v>3</v>
      </c>
      <c r="D100">
        <v>1092</v>
      </c>
      <c r="E100" t="s">
        <v>13</v>
      </c>
      <c r="F100">
        <v>66.83</v>
      </c>
      <c r="G100">
        <v>30</v>
      </c>
      <c r="H100">
        <v>3</v>
      </c>
      <c r="I100" t="s">
        <v>5</v>
      </c>
      <c r="J100" t="s">
        <v>30</v>
      </c>
      <c r="K100">
        <v>4.5999999999999996</v>
      </c>
      <c r="L100">
        <v>54</v>
      </c>
      <c r="M100">
        <v>46.78</v>
      </c>
      <c r="N100">
        <v>140.34</v>
      </c>
    </row>
    <row r="101" spans="1:14">
      <c r="A101">
        <v>100</v>
      </c>
      <c r="B101" s="1">
        <v>45082</v>
      </c>
      <c r="C101" s="2">
        <f t="shared" si="1"/>
        <v>6</v>
      </c>
      <c r="D101">
        <v>3849</v>
      </c>
      <c r="E101" t="s">
        <v>9</v>
      </c>
      <c r="F101">
        <v>64.67</v>
      </c>
      <c r="G101">
        <v>5</v>
      </c>
      <c r="H101">
        <v>2</v>
      </c>
      <c r="I101" t="s">
        <v>6</v>
      </c>
      <c r="J101" t="s">
        <v>29</v>
      </c>
      <c r="K101">
        <v>4.3</v>
      </c>
      <c r="L101">
        <v>438</v>
      </c>
      <c r="M101">
        <v>61.44</v>
      </c>
      <c r="N101">
        <v>122.88</v>
      </c>
    </row>
    <row r="102" spans="1:14">
      <c r="A102">
        <v>101</v>
      </c>
      <c r="B102" s="1">
        <v>44905</v>
      </c>
      <c r="C102" s="2">
        <f t="shared" si="1"/>
        <v>12</v>
      </c>
      <c r="D102">
        <v>4211</v>
      </c>
      <c r="E102" t="s">
        <v>13</v>
      </c>
      <c r="F102">
        <v>21.52</v>
      </c>
      <c r="G102">
        <v>10</v>
      </c>
      <c r="H102">
        <v>1</v>
      </c>
      <c r="I102" t="s">
        <v>3</v>
      </c>
      <c r="J102" t="s">
        <v>26</v>
      </c>
      <c r="K102">
        <v>1.1000000000000001</v>
      </c>
      <c r="L102">
        <v>300</v>
      </c>
      <c r="M102">
        <v>19.37</v>
      </c>
      <c r="N102">
        <v>19.37</v>
      </c>
    </row>
    <row r="103" spans="1:14">
      <c r="A103">
        <v>102</v>
      </c>
      <c r="B103" s="1">
        <v>44690</v>
      </c>
      <c r="C103" s="2">
        <f t="shared" si="1"/>
        <v>5</v>
      </c>
      <c r="D103">
        <v>4366</v>
      </c>
      <c r="E103" t="s">
        <v>12</v>
      </c>
      <c r="F103">
        <v>471.27</v>
      </c>
      <c r="G103">
        <v>0</v>
      </c>
      <c r="H103">
        <v>3</v>
      </c>
      <c r="I103" t="s">
        <v>4</v>
      </c>
      <c r="J103" t="s">
        <v>26</v>
      </c>
      <c r="K103">
        <v>1.7</v>
      </c>
      <c r="L103">
        <v>178</v>
      </c>
      <c r="M103">
        <v>471.27</v>
      </c>
      <c r="N103">
        <v>1413.81</v>
      </c>
    </row>
    <row r="104" spans="1:14">
      <c r="A104">
        <v>103</v>
      </c>
      <c r="B104" s="1">
        <v>45209</v>
      </c>
      <c r="C104" s="2">
        <f t="shared" si="1"/>
        <v>10</v>
      </c>
      <c r="D104">
        <v>3911</v>
      </c>
      <c r="E104" t="s">
        <v>12</v>
      </c>
      <c r="F104">
        <v>347.63</v>
      </c>
      <c r="G104">
        <v>20</v>
      </c>
      <c r="H104">
        <v>5</v>
      </c>
      <c r="I104" t="s">
        <v>4</v>
      </c>
      <c r="J104" t="s">
        <v>28</v>
      </c>
      <c r="K104">
        <v>1.2</v>
      </c>
      <c r="L104">
        <v>19</v>
      </c>
      <c r="M104">
        <v>278.10000000000002</v>
      </c>
      <c r="N104">
        <v>1390.5</v>
      </c>
    </row>
    <row r="105" spans="1:14">
      <c r="A105">
        <v>104</v>
      </c>
      <c r="B105" s="1">
        <v>45033</v>
      </c>
      <c r="C105" s="2">
        <f t="shared" si="1"/>
        <v>4</v>
      </c>
      <c r="D105">
        <v>1773</v>
      </c>
      <c r="E105" t="s">
        <v>8</v>
      </c>
      <c r="F105">
        <v>40.36</v>
      </c>
      <c r="G105">
        <v>20</v>
      </c>
      <c r="H105">
        <v>2</v>
      </c>
      <c r="I105" t="s">
        <v>5</v>
      </c>
      <c r="J105" t="s">
        <v>30</v>
      </c>
      <c r="K105">
        <v>1.1000000000000001</v>
      </c>
      <c r="L105">
        <v>322</v>
      </c>
      <c r="M105">
        <v>32.29</v>
      </c>
      <c r="N105">
        <v>64.58</v>
      </c>
    </row>
    <row r="106" spans="1:14">
      <c r="A106">
        <v>105</v>
      </c>
      <c r="B106" s="1">
        <v>44624</v>
      </c>
      <c r="C106" s="2">
        <f t="shared" si="1"/>
        <v>3</v>
      </c>
      <c r="D106">
        <v>4664</v>
      </c>
      <c r="E106" t="s">
        <v>9</v>
      </c>
      <c r="F106">
        <v>337.27</v>
      </c>
      <c r="G106">
        <v>20</v>
      </c>
      <c r="H106">
        <v>2</v>
      </c>
      <c r="I106" t="s">
        <v>5</v>
      </c>
      <c r="J106" t="s">
        <v>26</v>
      </c>
      <c r="K106">
        <v>3.9</v>
      </c>
      <c r="L106">
        <v>107</v>
      </c>
      <c r="M106">
        <v>269.82</v>
      </c>
      <c r="N106">
        <v>539.64</v>
      </c>
    </row>
    <row r="107" spans="1:14">
      <c r="A107">
        <v>106</v>
      </c>
      <c r="B107" s="1">
        <v>44700</v>
      </c>
      <c r="C107" s="2">
        <f t="shared" si="1"/>
        <v>5</v>
      </c>
      <c r="D107">
        <v>3591</v>
      </c>
      <c r="E107" t="s">
        <v>8</v>
      </c>
      <c r="F107">
        <v>155.29</v>
      </c>
      <c r="G107">
        <v>5</v>
      </c>
      <c r="H107">
        <v>2</v>
      </c>
      <c r="I107" t="s">
        <v>5</v>
      </c>
      <c r="J107" t="s">
        <v>28</v>
      </c>
      <c r="K107">
        <v>3.5</v>
      </c>
      <c r="L107">
        <v>249</v>
      </c>
      <c r="M107">
        <v>147.53</v>
      </c>
      <c r="N107">
        <v>295.06</v>
      </c>
    </row>
    <row r="108" spans="1:14">
      <c r="A108">
        <v>107</v>
      </c>
      <c r="B108" s="1">
        <v>45060</v>
      </c>
      <c r="C108" s="2">
        <f t="shared" si="1"/>
        <v>5</v>
      </c>
      <c r="D108">
        <v>1187</v>
      </c>
      <c r="E108" t="s">
        <v>13</v>
      </c>
      <c r="F108">
        <v>59.12</v>
      </c>
      <c r="G108">
        <v>0</v>
      </c>
      <c r="H108">
        <v>4</v>
      </c>
      <c r="I108" t="s">
        <v>5</v>
      </c>
      <c r="J108" t="s">
        <v>30</v>
      </c>
      <c r="K108">
        <v>3.4</v>
      </c>
      <c r="L108">
        <v>433</v>
      </c>
      <c r="M108">
        <v>59.12</v>
      </c>
      <c r="N108">
        <v>236.48</v>
      </c>
    </row>
    <row r="109" spans="1:14">
      <c r="A109">
        <v>108</v>
      </c>
      <c r="B109" s="1">
        <v>45154</v>
      </c>
      <c r="C109" s="2">
        <f t="shared" si="1"/>
        <v>8</v>
      </c>
      <c r="D109">
        <v>3183</v>
      </c>
      <c r="E109" t="s">
        <v>9</v>
      </c>
      <c r="F109">
        <v>496.15</v>
      </c>
      <c r="G109">
        <v>10</v>
      </c>
      <c r="H109">
        <v>3</v>
      </c>
      <c r="I109" t="s">
        <v>6</v>
      </c>
      <c r="J109" t="s">
        <v>29</v>
      </c>
      <c r="K109">
        <v>2</v>
      </c>
      <c r="L109">
        <v>422</v>
      </c>
      <c r="M109">
        <v>446.54</v>
      </c>
      <c r="N109">
        <v>1339.62</v>
      </c>
    </row>
    <row r="110" spans="1:14">
      <c r="A110">
        <v>109</v>
      </c>
      <c r="B110" s="1">
        <v>44953</v>
      </c>
      <c r="C110" s="2">
        <f t="shared" si="1"/>
        <v>1</v>
      </c>
      <c r="D110">
        <v>1165</v>
      </c>
      <c r="E110" t="s">
        <v>11</v>
      </c>
      <c r="F110">
        <v>94.04</v>
      </c>
      <c r="G110">
        <v>15</v>
      </c>
      <c r="H110">
        <v>5</v>
      </c>
      <c r="I110" t="s">
        <v>5</v>
      </c>
      <c r="J110" t="s">
        <v>30</v>
      </c>
      <c r="K110">
        <v>2.8</v>
      </c>
      <c r="L110">
        <v>200</v>
      </c>
      <c r="M110">
        <v>79.930000000000007</v>
      </c>
      <c r="N110">
        <v>399.65</v>
      </c>
    </row>
    <row r="111" spans="1:14">
      <c r="A111">
        <v>110</v>
      </c>
      <c r="B111" s="1">
        <v>45236</v>
      </c>
      <c r="C111" s="2">
        <f t="shared" si="1"/>
        <v>11</v>
      </c>
      <c r="D111">
        <v>4548</v>
      </c>
      <c r="E111" t="s">
        <v>8</v>
      </c>
      <c r="F111">
        <v>400.28</v>
      </c>
      <c r="G111">
        <v>5</v>
      </c>
      <c r="H111">
        <v>2</v>
      </c>
      <c r="I111" t="s">
        <v>5</v>
      </c>
      <c r="J111" t="s">
        <v>29</v>
      </c>
      <c r="K111">
        <v>3.9</v>
      </c>
      <c r="L111">
        <v>328</v>
      </c>
      <c r="M111">
        <v>380.27</v>
      </c>
      <c r="N111">
        <v>760.54</v>
      </c>
    </row>
    <row r="112" spans="1:14">
      <c r="A112">
        <v>111</v>
      </c>
      <c r="B112" s="1">
        <v>44980</v>
      </c>
      <c r="C112" s="2">
        <f t="shared" si="1"/>
        <v>2</v>
      </c>
      <c r="D112">
        <v>4038</v>
      </c>
      <c r="E112" t="s">
        <v>12</v>
      </c>
      <c r="F112">
        <v>441.29</v>
      </c>
      <c r="G112">
        <v>0</v>
      </c>
      <c r="H112">
        <v>3</v>
      </c>
      <c r="I112" t="s">
        <v>4</v>
      </c>
      <c r="J112" t="s">
        <v>29</v>
      </c>
      <c r="K112">
        <v>3</v>
      </c>
      <c r="L112">
        <v>447</v>
      </c>
      <c r="M112">
        <v>441.29</v>
      </c>
      <c r="N112">
        <v>1323.87</v>
      </c>
    </row>
    <row r="113" spans="1:14">
      <c r="A113">
        <v>112</v>
      </c>
      <c r="B113" s="1">
        <v>44850</v>
      </c>
      <c r="C113" s="2">
        <f t="shared" si="1"/>
        <v>10</v>
      </c>
      <c r="D113">
        <v>4218</v>
      </c>
      <c r="E113" t="s">
        <v>8</v>
      </c>
      <c r="F113">
        <v>267.51</v>
      </c>
      <c r="G113">
        <v>15</v>
      </c>
      <c r="H113">
        <v>3</v>
      </c>
      <c r="I113" t="s">
        <v>6</v>
      </c>
      <c r="J113" t="s">
        <v>30</v>
      </c>
      <c r="K113">
        <v>1.3</v>
      </c>
      <c r="L113">
        <v>358</v>
      </c>
      <c r="M113">
        <v>227.38</v>
      </c>
      <c r="N113">
        <v>682.14</v>
      </c>
    </row>
    <row r="114" spans="1:14">
      <c r="A114">
        <v>113</v>
      </c>
      <c r="B114" s="1">
        <v>44940</v>
      </c>
      <c r="C114" s="2">
        <f t="shared" si="1"/>
        <v>1</v>
      </c>
      <c r="D114">
        <v>1244</v>
      </c>
      <c r="E114" t="s">
        <v>10</v>
      </c>
      <c r="F114">
        <v>488.12</v>
      </c>
      <c r="G114">
        <v>20</v>
      </c>
      <c r="H114">
        <v>2</v>
      </c>
      <c r="I114" t="s">
        <v>6</v>
      </c>
      <c r="J114" t="s">
        <v>30</v>
      </c>
      <c r="K114">
        <v>4.3</v>
      </c>
      <c r="L114">
        <v>120</v>
      </c>
      <c r="M114">
        <v>390.5</v>
      </c>
      <c r="N114">
        <v>781</v>
      </c>
    </row>
    <row r="115" spans="1:14">
      <c r="A115">
        <v>114</v>
      </c>
      <c r="B115" s="1">
        <v>45051</v>
      </c>
      <c r="C115" s="2">
        <f t="shared" si="1"/>
        <v>5</v>
      </c>
      <c r="D115">
        <v>2206</v>
      </c>
      <c r="E115" t="s">
        <v>10</v>
      </c>
      <c r="F115">
        <v>64.33</v>
      </c>
      <c r="G115">
        <v>0</v>
      </c>
      <c r="H115">
        <v>1</v>
      </c>
      <c r="I115" t="s">
        <v>4</v>
      </c>
      <c r="J115" t="s">
        <v>30</v>
      </c>
      <c r="K115">
        <v>3.2</v>
      </c>
      <c r="L115">
        <v>91</v>
      </c>
      <c r="M115">
        <v>64.33</v>
      </c>
      <c r="N115">
        <v>64.33</v>
      </c>
    </row>
    <row r="116" spans="1:14">
      <c r="A116">
        <v>115</v>
      </c>
      <c r="B116" s="1">
        <v>44792</v>
      </c>
      <c r="C116" s="2">
        <f t="shared" si="1"/>
        <v>8</v>
      </c>
      <c r="D116">
        <v>2032</v>
      </c>
      <c r="E116" t="s">
        <v>10</v>
      </c>
      <c r="F116">
        <v>480.63</v>
      </c>
      <c r="G116">
        <v>10</v>
      </c>
      <c r="H116">
        <v>4</v>
      </c>
      <c r="I116" t="s">
        <v>5</v>
      </c>
      <c r="J116" t="s">
        <v>30</v>
      </c>
      <c r="K116">
        <v>4.8</v>
      </c>
      <c r="L116">
        <v>176</v>
      </c>
      <c r="M116">
        <v>432.57</v>
      </c>
      <c r="N116">
        <v>1730.28</v>
      </c>
    </row>
    <row r="117" spans="1:14">
      <c r="A117">
        <v>116</v>
      </c>
      <c r="B117" s="1">
        <v>44602</v>
      </c>
      <c r="C117" s="2">
        <f t="shared" si="1"/>
        <v>2</v>
      </c>
      <c r="D117">
        <v>2459</v>
      </c>
      <c r="E117" t="s">
        <v>12</v>
      </c>
      <c r="F117">
        <v>39.979999999999997</v>
      </c>
      <c r="G117">
        <v>5</v>
      </c>
      <c r="H117">
        <v>2</v>
      </c>
      <c r="I117" t="s">
        <v>6</v>
      </c>
      <c r="J117" t="s">
        <v>27</v>
      </c>
      <c r="K117">
        <v>1.6</v>
      </c>
      <c r="L117">
        <v>216</v>
      </c>
      <c r="M117">
        <v>37.979999999999997</v>
      </c>
      <c r="N117">
        <v>75.959999999999994</v>
      </c>
    </row>
    <row r="118" spans="1:14">
      <c r="A118">
        <v>117</v>
      </c>
      <c r="B118" s="1">
        <v>44589</v>
      </c>
      <c r="C118" s="2">
        <f t="shared" si="1"/>
        <v>1</v>
      </c>
      <c r="D118">
        <v>2179</v>
      </c>
      <c r="E118" t="s">
        <v>12</v>
      </c>
      <c r="F118">
        <v>241.28</v>
      </c>
      <c r="G118">
        <v>0</v>
      </c>
      <c r="H118">
        <v>1</v>
      </c>
      <c r="I118" t="s">
        <v>5</v>
      </c>
      <c r="J118" t="s">
        <v>27</v>
      </c>
      <c r="K118">
        <v>1.1000000000000001</v>
      </c>
      <c r="L118">
        <v>456</v>
      </c>
      <c r="M118">
        <v>241.28</v>
      </c>
      <c r="N118">
        <v>241.28</v>
      </c>
    </row>
    <row r="119" spans="1:14">
      <c r="A119">
        <v>118</v>
      </c>
      <c r="B119" s="1">
        <v>44696</v>
      </c>
      <c r="C119" s="2">
        <f t="shared" si="1"/>
        <v>5</v>
      </c>
      <c r="D119">
        <v>1829</v>
      </c>
      <c r="E119" t="s">
        <v>10</v>
      </c>
      <c r="F119">
        <v>428.24</v>
      </c>
      <c r="G119">
        <v>30</v>
      </c>
      <c r="H119">
        <v>5</v>
      </c>
      <c r="I119" t="s">
        <v>5</v>
      </c>
      <c r="J119" t="s">
        <v>27</v>
      </c>
      <c r="K119">
        <v>4.3</v>
      </c>
      <c r="L119">
        <v>110</v>
      </c>
      <c r="M119">
        <v>299.77</v>
      </c>
      <c r="N119">
        <v>1498.85</v>
      </c>
    </row>
    <row r="120" spans="1:14">
      <c r="A120">
        <v>119</v>
      </c>
      <c r="B120" s="1">
        <v>44762</v>
      </c>
      <c r="C120" s="2">
        <f t="shared" si="1"/>
        <v>7</v>
      </c>
      <c r="D120">
        <v>3735</v>
      </c>
      <c r="E120" t="s">
        <v>13</v>
      </c>
      <c r="F120">
        <v>278.83</v>
      </c>
      <c r="G120">
        <v>20</v>
      </c>
      <c r="H120">
        <v>1</v>
      </c>
      <c r="I120" t="s">
        <v>4</v>
      </c>
      <c r="J120" t="s">
        <v>27</v>
      </c>
      <c r="K120">
        <v>4.3</v>
      </c>
      <c r="L120">
        <v>172</v>
      </c>
      <c r="M120">
        <v>223.06</v>
      </c>
      <c r="N120">
        <v>223.06</v>
      </c>
    </row>
    <row r="121" spans="1:14">
      <c r="A121">
        <v>120</v>
      </c>
      <c r="B121" s="1">
        <v>44594</v>
      </c>
      <c r="C121" s="2">
        <f t="shared" si="1"/>
        <v>2</v>
      </c>
      <c r="D121">
        <v>3161</v>
      </c>
      <c r="E121" t="s">
        <v>12</v>
      </c>
      <c r="F121">
        <v>293.81</v>
      </c>
      <c r="G121">
        <v>30</v>
      </c>
      <c r="H121">
        <v>4</v>
      </c>
      <c r="I121" t="s">
        <v>6</v>
      </c>
      <c r="J121" t="s">
        <v>26</v>
      </c>
      <c r="K121">
        <v>1.5</v>
      </c>
      <c r="L121">
        <v>342</v>
      </c>
      <c r="M121">
        <v>205.67</v>
      </c>
      <c r="N121">
        <v>822.68</v>
      </c>
    </row>
    <row r="122" spans="1:14">
      <c r="A122">
        <v>121</v>
      </c>
      <c r="B122" s="1">
        <v>44609</v>
      </c>
      <c r="C122" s="2">
        <f t="shared" si="1"/>
        <v>2</v>
      </c>
      <c r="D122">
        <v>2778</v>
      </c>
      <c r="E122" t="s">
        <v>13</v>
      </c>
      <c r="F122">
        <v>84.69</v>
      </c>
      <c r="G122">
        <v>5</v>
      </c>
      <c r="H122">
        <v>3</v>
      </c>
      <c r="I122" t="s">
        <v>6</v>
      </c>
      <c r="J122" t="s">
        <v>26</v>
      </c>
      <c r="K122">
        <v>4.4000000000000004</v>
      </c>
      <c r="L122">
        <v>173</v>
      </c>
      <c r="M122">
        <v>80.459999999999994</v>
      </c>
      <c r="N122">
        <v>241.38</v>
      </c>
    </row>
    <row r="123" spans="1:14">
      <c r="A123">
        <v>122</v>
      </c>
      <c r="B123" s="1">
        <v>45064</v>
      </c>
      <c r="C123" s="2">
        <f t="shared" si="1"/>
        <v>5</v>
      </c>
      <c r="D123">
        <v>3214</v>
      </c>
      <c r="E123" t="s">
        <v>12</v>
      </c>
      <c r="F123">
        <v>492.25</v>
      </c>
      <c r="G123">
        <v>15</v>
      </c>
      <c r="H123">
        <v>2</v>
      </c>
      <c r="I123" t="s">
        <v>3</v>
      </c>
      <c r="J123" t="s">
        <v>29</v>
      </c>
      <c r="K123">
        <v>3</v>
      </c>
      <c r="L123">
        <v>364</v>
      </c>
      <c r="M123">
        <v>418.41</v>
      </c>
      <c r="N123">
        <v>836.82</v>
      </c>
    </row>
    <row r="124" spans="1:14">
      <c r="A124">
        <v>123</v>
      </c>
      <c r="B124" s="1">
        <v>44968</v>
      </c>
      <c r="C124" s="2">
        <f t="shared" si="1"/>
        <v>2</v>
      </c>
      <c r="D124">
        <v>3535</v>
      </c>
      <c r="E124" t="s">
        <v>12</v>
      </c>
      <c r="F124">
        <v>119.41</v>
      </c>
      <c r="G124">
        <v>20</v>
      </c>
      <c r="H124">
        <v>4</v>
      </c>
      <c r="I124" t="s">
        <v>3</v>
      </c>
      <c r="J124" t="s">
        <v>29</v>
      </c>
      <c r="K124">
        <v>1.9</v>
      </c>
      <c r="L124">
        <v>328</v>
      </c>
      <c r="M124">
        <v>95.53</v>
      </c>
      <c r="N124">
        <v>382.12</v>
      </c>
    </row>
    <row r="125" spans="1:14">
      <c r="A125">
        <v>124</v>
      </c>
      <c r="B125" s="1">
        <v>45135</v>
      </c>
      <c r="C125" s="2">
        <f t="shared" si="1"/>
        <v>7</v>
      </c>
      <c r="D125">
        <v>1436</v>
      </c>
      <c r="E125" t="s">
        <v>10</v>
      </c>
      <c r="F125">
        <v>430.17</v>
      </c>
      <c r="G125">
        <v>15</v>
      </c>
      <c r="H125">
        <v>1</v>
      </c>
      <c r="I125" t="s">
        <v>3</v>
      </c>
      <c r="J125" t="s">
        <v>28</v>
      </c>
      <c r="K125">
        <v>1.2</v>
      </c>
      <c r="L125">
        <v>172</v>
      </c>
      <c r="M125">
        <v>365.64</v>
      </c>
      <c r="N125">
        <v>365.64</v>
      </c>
    </row>
    <row r="126" spans="1:14">
      <c r="A126">
        <v>125</v>
      </c>
      <c r="B126" s="1">
        <v>45289</v>
      </c>
      <c r="C126" s="2">
        <f t="shared" si="1"/>
        <v>12</v>
      </c>
      <c r="D126">
        <v>3270</v>
      </c>
      <c r="E126" t="s">
        <v>11</v>
      </c>
      <c r="F126">
        <v>478.5</v>
      </c>
      <c r="G126">
        <v>20</v>
      </c>
      <c r="H126">
        <v>4</v>
      </c>
      <c r="I126" t="s">
        <v>6</v>
      </c>
      <c r="J126" t="s">
        <v>27</v>
      </c>
      <c r="K126">
        <v>1.8</v>
      </c>
      <c r="L126">
        <v>26</v>
      </c>
      <c r="M126">
        <v>382.8</v>
      </c>
      <c r="N126">
        <v>1531.2</v>
      </c>
    </row>
    <row r="127" spans="1:14">
      <c r="A127">
        <v>126</v>
      </c>
      <c r="B127" s="1">
        <v>44660</v>
      </c>
      <c r="C127" s="2">
        <f t="shared" si="1"/>
        <v>4</v>
      </c>
      <c r="D127">
        <v>3238</v>
      </c>
      <c r="E127" t="s">
        <v>13</v>
      </c>
      <c r="F127">
        <v>143.99</v>
      </c>
      <c r="G127">
        <v>10</v>
      </c>
      <c r="H127">
        <v>4</v>
      </c>
      <c r="I127" t="s">
        <v>5</v>
      </c>
      <c r="J127" t="s">
        <v>26</v>
      </c>
      <c r="K127">
        <v>4.4000000000000004</v>
      </c>
      <c r="L127">
        <v>278</v>
      </c>
      <c r="M127">
        <v>129.59</v>
      </c>
      <c r="N127">
        <v>518.36</v>
      </c>
    </row>
    <row r="128" spans="1:14">
      <c r="A128">
        <v>127</v>
      </c>
      <c r="B128" s="1">
        <v>45245</v>
      </c>
      <c r="C128" s="2">
        <f t="shared" si="1"/>
        <v>11</v>
      </c>
      <c r="D128">
        <v>2810</v>
      </c>
      <c r="E128" t="s">
        <v>13</v>
      </c>
      <c r="F128">
        <v>366.6</v>
      </c>
      <c r="G128">
        <v>5</v>
      </c>
      <c r="H128">
        <v>3</v>
      </c>
      <c r="I128" t="s">
        <v>6</v>
      </c>
      <c r="J128" t="s">
        <v>29</v>
      </c>
      <c r="K128">
        <v>4</v>
      </c>
      <c r="L128">
        <v>346</v>
      </c>
      <c r="M128">
        <v>348.27</v>
      </c>
      <c r="N128">
        <v>1044.81</v>
      </c>
    </row>
    <row r="129" spans="1:14">
      <c r="A129">
        <v>128</v>
      </c>
      <c r="B129" s="1">
        <v>45287</v>
      </c>
      <c r="C129" s="2">
        <f t="shared" si="1"/>
        <v>12</v>
      </c>
      <c r="D129">
        <v>2824</v>
      </c>
      <c r="E129" t="s">
        <v>11</v>
      </c>
      <c r="F129">
        <v>44.79</v>
      </c>
      <c r="G129">
        <v>0</v>
      </c>
      <c r="H129">
        <v>3</v>
      </c>
      <c r="I129" t="s">
        <v>6</v>
      </c>
      <c r="J129" t="s">
        <v>30</v>
      </c>
      <c r="K129">
        <v>4.5</v>
      </c>
      <c r="L129">
        <v>176</v>
      </c>
      <c r="M129">
        <v>44.79</v>
      </c>
      <c r="N129">
        <v>134.37</v>
      </c>
    </row>
    <row r="130" spans="1:14">
      <c r="A130">
        <v>129</v>
      </c>
      <c r="B130" s="1">
        <v>45108</v>
      </c>
      <c r="C130" s="2">
        <f t="shared" si="1"/>
        <v>7</v>
      </c>
      <c r="D130">
        <v>3623</v>
      </c>
      <c r="E130" t="s">
        <v>9</v>
      </c>
      <c r="F130">
        <v>372.02</v>
      </c>
      <c r="G130">
        <v>15</v>
      </c>
      <c r="H130">
        <v>1</v>
      </c>
      <c r="I130" t="s">
        <v>4</v>
      </c>
      <c r="J130" t="s">
        <v>28</v>
      </c>
      <c r="K130">
        <v>5</v>
      </c>
      <c r="L130">
        <v>354</v>
      </c>
      <c r="M130">
        <v>316.22000000000003</v>
      </c>
      <c r="N130">
        <v>316.22000000000003</v>
      </c>
    </row>
    <row r="131" spans="1:14">
      <c r="A131">
        <v>130</v>
      </c>
      <c r="B131" s="1">
        <v>45174</v>
      </c>
      <c r="C131" s="2">
        <f t="shared" ref="C131:C180" si="2">MONTH(B131)</f>
        <v>9</v>
      </c>
      <c r="D131">
        <v>1793</v>
      </c>
      <c r="E131" t="s">
        <v>8</v>
      </c>
      <c r="F131">
        <v>244.75</v>
      </c>
      <c r="G131">
        <v>15</v>
      </c>
      <c r="H131">
        <v>3</v>
      </c>
      <c r="I131" t="s">
        <v>5</v>
      </c>
      <c r="J131" t="s">
        <v>27</v>
      </c>
      <c r="K131">
        <v>4.5</v>
      </c>
      <c r="L131">
        <v>276</v>
      </c>
      <c r="M131">
        <v>208.04</v>
      </c>
      <c r="N131">
        <v>624.12</v>
      </c>
    </row>
    <row r="132" spans="1:14">
      <c r="A132">
        <v>131</v>
      </c>
      <c r="B132" s="1">
        <v>45023</v>
      </c>
      <c r="C132" s="2">
        <f t="shared" si="2"/>
        <v>4</v>
      </c>
      <c r="D132">
        <v>1172</v>
      </c>
      <c r="E132" t="s">
        <v>11</v>
      </c>
      <c r="F132">
        <v>63.38</v>
      </c>
      <c r="G132">
        <v>15</v>
      </c>
      <c r="H132">
        <v>1</v>
      </c>
      <c r="I132" t="s">
        <v>5</v>
      </c>
      <c r="J132" t="s">
        <v>30</v>
      </c>
      <c r="K132">
        <v>4.7</v>
      </c>
      <c r="L132">
        <v>1</v>
      </c>
      <c r="M132">
        <v>53.87</v>
      </c>
      <c r="N132">
        <v>53.87</v>
      </c>
    </row>
    <row r="133" spans="1:14">
      <c r="A133">
        <v>132</v>
      </c>
      <c r="B133" s="1">
        <v>45204</v>
      </c>
      <c r="C133" s="2">
        <f t="shared" si="2"/>
        <v>10</v>
      </c>
      <c r="D133">
        <v>2280</v>
      </c>
      <c r="E133" t="s">
        <v>9</v>
      </c>
      <c r="F133">
        <v>447.85</v>
      </c>
      <c r="G133">
        <v>10</v>
      </c>
      <c r="H133">
        <v>3</v>
      </c>
      <c r="I133" t="s">
        <v>5</v>
      </c>
      <c r="J133" t="s">
        <v>28</v>
      </c>
      <c r="K133">
        <v>4.7</v>
      </c>
      <c r="L133">
        <v>399</v>
      </c>
      <c r="M133">
        <v>403.07</v>
      </c>
      <c r="N133">
        <v>1209.21</v>
      </c>
    </row>
    <row r="134" spans="1:14">
      <c r="A134">
        <v>133</v>
      </c>
      <c r="B134" s="1">
        <v>44566</v>
      </c>
      <c r="C134" s="2">
        <f t="shared" si="2"/>
        <v>1</v>
      </c>
      <c r="D134">
        <v>2738</v>
      </c>
      <c r="E134" t="s">
        <v>11</v>
      </c>
      <c r="F134">
        <v>341.04</v>
      </c>
      <c r="G134">
        <v>10</v>
      </c>
      <c r="H134">
        <v>4</v>
      </c>
      <c r="I134" t="s">
        <v>5</v>
      </c>
      <c r="J134" t="s">
        <v>27</v>
      </c>
      <c r="K134">
        <v>2.2000000000000002</v>
      </c>
      <c r="L134">
        <v>203</v>
      </c>
      <c r="M134">
        <v>306.94</v>
      </c>
      <c r="N134">
        <v>1227.76</v>
      </c>
    </row>
    <row r="135" spans="1:14">
      <c r="A135">
        <v>134</v>
      </c>
      <c r="B135" s="1">
        <v>44779</v>
      </c>
      <c r="C135" s="2">
        <f t="shared" si="2"/>
        <v>8</v>
      </c>
      <c r="D135">
        <v>1449</v>
      </c>
      <c r="E135" t="s">
        <v>10</v>
      </c>
      <c r="F135">
        <v>88.45</v>
      </c>
      <c r="G135">
        <v>30</v>
      </c>
      <c r="H135">
        <v>1</v>
      </c>
      <c r="I135" t="s">
        <v>3</v>
      </c>
      <c r="J135" t="s">
        <v>27</v>
      </c>
      <c r="K135">
        <v>2.4</v>
      </c>
      <c r="L135">
        <v>397</v>
      </c>
      <c r="M135">
        <v>61.92</v>
      </c>
      <c r="N135">
        <v>61.92</v>
      </c>
    </row>
    <row r="136" spans="1:14">
      <c r="A136">
        <v>135</v>
      </c>
      <c r="B136" s="1">
        <v>45064</v>
      </c>
      <c r="C136" s="2">
        <f t="shared" si="2"/>
        <v>5</v>
      </c>
      <c r="D136">
        <v>4572</v>
      </c>
      <c r="E136" t="s">
        <v>9</v>
      </c>
      <c r="F136">
        <v>268.74</v>
      </c>
      <c r="G136">
        <v>10</v>
      </c>
      <c r="H136">
        <v>1</v>
      </c>
      <c r="I136" t="s">
        <v>5</v>
      </c>
      <c r="J136" t="s">
        <v>26</v>
      </c>
      <c r="K136">
        <v>3.4</v>
      </c>
      <c r="L136">
        <v>115</v>
      </c>
      <c r="M136">
        <v>241.87</v>
      </c>
      <c r="N136">
        <v>241.87</v>
      </c>
    </row>
    <row r="137" spans="1:14">
      <c r="A137">
        <v>136</v>
      </c>
      <c r="B137" s="1">
        <v>44959</v>
      </c>
      <c r="C137" s="2">
        <f t="shared" si="2"/>
        <v>2</v>
      </c>
      <c r="D137">
        <v>2954</v>
      </c>
      <c r="E137" t="s">
        <v>10</v>
      </c>
      <c r="F137">
        <v>166.31</v>
      </c>
      <c r="G137">
        <v>20</v>
      </c>
      <c r="H137">
        <v>1</v>
      </c>
      <c r="I137" t="s">
        <v>4</v>
      </c>
      <c r="J137" t="s">
        <v>29</v>
      </c>
      <c r="K137">
        <v>2</v>
      </c>
      <c r="L137">
        <v>391</v>
      </c>
      <c r="M137">
        <v>133.05000000000001</v>
      </c>
      <c r="N137">
        <v>133.05000000000001</v>
      </c>
    </row>
    <row r="138" spans="1:14">
      <c r="A138">
        <v>137</v>
      </c>
      <c r="B138" s="1">
        <v>44954</v>
      </c>
      <c r="C138" s="2">
        <f t="shared" si="2"/>
        <v>1</v>
      </c>
      <c r="D138">
        <v>3124</v>
      </c>
      <c r="E138" t="s">
        <v>10</v>
      </c>
      <c r="F138">
        <v>356.73</v>
      </c>
      <c r="G138">
        <v>30</v>
      </c>
      <c r="H138">
        <v>1</v>
      </c>
      <c r="I138" t="s">
        <v>6</v>
      </c>
      <c r="J138" t="s">
        <v>27</v>
      </c>
      <c r="K138">
        <v>2</v>
      </c>
      <c r="L138">
        <v>25</v>
      </c>
      <c r="M138">
        <v>249.71</v>
      </c>
      <c r="N138">
        <v>249.71</v>
      </c>
    </row>
    <row r="139" spans="1:14">
      <c r="A139">
        <v>138</v>
      </c>
      <c r="B139" s="1">
        <v>44768</v>
      </c>
      <c r="C139" s="2">
        <f t="shared" si="2"/>
        <v>7</v>
      </c>
      <c r="D139">
        <v>1614</v>
      </c>
      <c r="E139" t="s">
        <v>9</v>
      </c>
      <c r="F139">
        <v>315.58999999999997</v>
      </c>
      <c r="G139">
        <v>30</v>
      </c>
      <c r="H139">
        <v>2</v>
      </c>
      <c r="I139" t="s">
        <v>6</v>
      </c>
      <c r="J139" t="s">
        <v>28</v>
      </c>
      <c r="K139">
        <v>3.9</v>
      </c>
      <c r="L139">
        <v>311</v>
      </c>
      <c r="M139">
        <v>220.91</v>
      </c>
      <c r="N139">
        <v>441.82</v>
      </c>
    </row>
    <row r="140" spans="1:14">
      <c r="A140">
        <v>139</v>
      </c>
      <c r="B140" s="1">
        <v>44576</v>
      </c>
      <c r="C140" s="2">
        <f t="shared" si="2"/>
        <v>1</v>
      </c>
      <c r="D140">
        <v>1225</v>
      </c>
      <c r="E140" t="s">
        <v>13</v>
      </c>
      <c r="F140">
        <v>98.82</v>
      </c>
      <c r="G140">
        <v>10</v>
      </c>
      <c r="H140">
        <v>1</v>
      </c>
      <c r="I140" t="s">
        <v>4</v>
      </c>
      <c r="J140" t="s">
        <v>26</v>
      </c>
      <c r="K140">
        <v>2</v>
      </c>
      <c r="L140">
        <v>442</v>
      </c>
      <c r="M140">
        <v>88.94</v>
      </c>
      <c r="N140">
        <v>88.94</v>
      </c>
    </row>
    <row r="141" spans="1:14">
      <c r="A141">
        <v>140</v>
      </c>
      <c r="B141" s="1">
        <v>45115</v>
      </c>
      <c r="C141" s="2">
        <f t="shared" si="2"/>
        <v>7</v>
      </c>
      <c r="D141">
        <v>4297</v>
      </c>
      <c r="E141" t="s">
        <v>13</v>
      </c>
      <c r="F141">
        <v>124.85</v>
      </c>
      <c r="G141">
        <v>30</v>
      </c>
      <c r="H141">
        <v>5</v>
      </c>
      <c r="I141" t="s">
        <v>6</v>
      </c>
      <c r="J141" t="s">
        <v>30</v>
      </c>
      <c r="K141">
        <v>3.7</v>
      </c>
      <c r="L141">
        <v>248</v>
      </c>
      <c r="M141">
        <v>87.4</v>
      </c>
      <c r="N141">
        <v>437</v>
      </c>
    </row>
    <row r="142" spans="1:14">
      <c r="A142">
        <v>141</v>
      </c>
      <c r="B142" s="1">
        <v>45022</v>
      </c>
      <c r="C142" s="2">
        <f t="shared" si="2"/>
        <v>4</v>
      </c>
      <c r="D142">
        <v>1738</v>
      </c>
      <c r="E142" t="s">
        <v>9</v>
      </c>
      <c r="F142">
        <v>353.75</v>
      </c>
      <c r="G142">
        <v>30</v>
      </c>
      <c r="H142">
        <v>1</v>
      </c>
      <c r="I142" t="s">
        <v>3</v>
      </c>
      <c r="J142" t="s">
        <v>29</v>
      </c>
      <c r="K142">
        <v>4.5999999999999996</v>
      </c>
      <c r="L142">
        <v>25</v>
      </c>
      <c r="M142">
        <v>247.62</v>
      </c>
      <c r="N142">
        <v>247.62</v>
      </c>
    </row>
    <row r="143" spans="1:14">
      <c r="A143">
        <v>142</v>
      </c>
      <c r="B143" s="1">
        <v>45252</v>
      </c>
      <c r="C143" s="2">
        <f t="shared" si="2"/>
        <v>11</v>
      </c>
      <c r="D143">
        <v>2631</v>
      </c>
      <c r="E143" t="s">
        <v>11</v>
      </c>
      <c r="F143">
        <v>339.21</v>
      </c>
      <c r="G143">
        <v>5</v>
      </c>
      <c r="H143">
        <v>3</v>
      </c>
      <c r="I143" t="s">
        <v>5</v>
      </c>
      <c r="J143" t="s">
        <v>28</v>
      </c>
      <c r="K143">
        <v>1.4</v>
      </c>
      <c r="L143">
        <v>330</v>
      </c>
      <c r="M143">
        <v>322.25</v>
      </c>
      <c r="N143">
        <v>966.75</v>
      </c>
    </row>
    <row r="144" spans="1:14">
      <c r="A144">
        <v>143</v>
      </c>
      <c r="B144" s="1">
        <v>45136</v>
      </c>
      <c r="C144" s="2">
        <f t="shared" si="2"/>
        <v>7</v>
      </c>
      <c r="D144">
        <v>1940</v>
      </c>
      <c r="E144" t="s">
        <v>11</v>
      </c>
      <c r="F144">
        <v>159.56</v>
      </c>
      <c r="G144">
        <v>5</v>
      </c>
      <c r="H144">
        <v>4</v>
      </c>
      <c r="I144" t="s">
        <v>6</v>
      </c>
      <c r="J144" t="s">
        <v>30</v>
      </c>
      <c r="K144">
        <v>3</v>
      </c>
      <c r="L144">
        <v>482</v>
      </c>
      <c r="M144">
        <v>151.58000000000001</v>
      </c>
      <c r="N144">
        <v>606.32000000000005</v>
      </c>
    </row>
    <row r="145" spans="1:14">
      <c r="A145">
        <v>144</v>
      </c>
      <c r="B145" s="1">
        <v>44802</v>
      </c>
      <c r="C145" s="2">
        <f t="shared" si="2"/>
        <v>8</v>
      </c>
      <c r="D145">
        <v>1075</v>
      </c>
      <c r="E145" t="s">
        <v>8</v>
      </c>
      <c r="F145">
        <v>241.73</v>
      </c>
      <c r="G145">
        <v>30</v>
      </c>
      <c r="H145">
        <v>3</v>
      </c>
      <c r="I145" t="s">
        <v>3</v>
      </c>
      <c r="J145" t="s">
        <v>28</v>
      </c>
      <c r="K145">
        <v>3.6</v>
      </c>
      <c r="L145">
        <v>364</v>
      </c>
      <c r="M145">
        <v>169.21</v>
      </c>
      <c r="N145">
        <v>507.63</v>
      </c>
    </row>
    <row r="146" spans="1:14">
      <c r="A146">
        <v>145</v>
      </c>
      <c r="B146" s="1">
        <v>45125</v>
      </c>
      <c r="C146" s="2">
        <f t="shared" si="2"/>
        <v>7</v>
      </c>
      <c r="D146">
        <v>4104</v>
      </c>
      <c r="E146" t="s">
        <v>11</v>
      </c>
      <c r="F146">
        <v>236.26</v>
      </c>
      <c r="G146">
        <v>20</v>
      </c>
      <c r="H146">
        <v>5</v>
      </c>
      <c r="I146" t="s">
        <v>3</v>
      </c>
      <c r="J146" t="s">
        <v>26</v>
      </c>
      <c r="K146">
        <v>1.5</v>
      </c>
      <c r="L146">
        <v>117</v>
      </c>
      <c r="M146">
        <v>189.01</v>
      </c>
      <c r="N146">
        <v>945.05</v>
      </c>
    </row>
    <row r="147" spans="1:14">
      <c r="A147">
        <v>146</v>
      </c>
      <c r="B147" s="1">
        <v>44657</v>
      </c>
      <c r="C147" s="2">
        <f t="shared" si="2"/>
        <v>4</v>
      </c>
      <c r="D147">
        <v>4665</v>
      </c>
      <c r="E147" t="s">
        <v>13</v>
      </c>
      <c r="F147">
        <v>66.599999999999994</v>
      </c>
      <c r="G147">
        <v>15</v>
      </c>
      <c r="H147">
        <v>2</v>
      </c>
      <c r="I147" t="s">
        <v>4</v>
      </c>
      <c r="J147" t="s">
        <v>26</v>
      </c>
      <c r="K147">
        <v>1.6</v>
      </c>
      <c r="L147">
        <v>390</v>
      </c>
      <c r="M147">
        <v>56.61</v>
      </c>
      <c r="N147">
        <v>113.22</v>
      </c>
    </row>
    <row r="148" spans="1:14">
      <c r="A148">
        <v>147</v>
      </c>
      <c r="B148" s="1">
        <v>45046</v>
      </c>
      <c r="C148" s="2">
        <f t="shared" si="2"/>
        <v>4</v>
      </c>
      <c r="D148">
        <v>1068</v>
      </c>
      <c r="E148" t="s">
        <v>9</v>
      </c>
      <c r="F148">
        <v>312.42</v>
      </c>
      <c r="G148">
        <v>10</v>
      </c>
      <c r="H148">
        <v>3</v>
      </c>
      <c r="I148" t="s">
        <v>5</v>
      </c>
      <c r="J148" t="s">
        <v>26</v>
      </c>
      <c r="K148">
        <v>1.4</v>
      </c>
      <c r="L148">
        <v>213</v>
      </c>
      <c r="M148">
        <v>281.18</v>
      </c>
      <c r="N148">
        <v>843.54</v>
      </c>
    </row>
    <row r="149" spans="1:14">
      <c r="A149">
        <v>148</v>
      </c>
      <c r="B149" s="1">
        <v>44968</v>
      </c>
      <c r="C149" s="2">
        <f t="shared" si="2"/>
        <v>2</v>
      </c>
      <c r="D149">
        <v>2874</v>
      </c>
      <c r="E149" t="s">
        <v>11</v>
      </c>
      <c r="F149">
        <v>135.9</v>
      </c>
      <c r="G149">
        <v>10</v>
      </c>
      <c r="H149">
        <v>4</v>
      </c>
      <c r="I149" t="s">
        <v>4</v>
      </c>
      <c r="J149" t="s">
        <v>30</v>
      </c>
      <c r="K149">
        <v>4.4000000000000004</v>
      </c>
      <c r="L149">
        <v>302</v>
      </c>
      <c r="M149">
        <v>122.31</v>
      </c>
      <c r="N149">
        <v>489.24</v>
      </c>
    </row>
    <row r="150" spans="1:14">
      <c r="A150">
        <v>149</v>
      </c>
      <c r="B150" s="1">
        <v>44792</v>
      </c>
      <c r="C150" s="2">
        <f t="shared" si="2"/>
        <v>8</v>
      </c>
      <c r="D150">
        <v>3462</v>
      </c>
      <c r="E150" t="s">
        <v>9</v>
      </c>
      <c r="F150">
        <v>232.65</v>
      </c>
      <c r="G150">
        <v>10</v>
      </c>
      <c r="H150">
        <v>4</v>
      </c>
      <c r="I150" t="s">
        <v>5</v>
      </c>
      <c r="J150" t="s">
        <v>30</v>
      </c>
      <c r="K150">
        <v>1.8</v>
      </c>
      <c r="L150">
        <v>125</v>
      </c>
      <c r="M150">
        <v>209.39</v>
      </c>
      <c r="N150">
        <v>837.56</v>
      </c>
    </row>
    <row r="151" spans="1:14">
      <c r="A151">
        <v>150</v>
      </c>
      <c r="B151" s="1">
        <v>45216</v>
      </c>
      <c r="C151" s="2">
        <f t="shared" si="2"/>
        <v>10</v>
      </c>
      <c r="D151">
        <v>3778</v>
      </c>
      <c r="E151" t="s">
        <v>8</v>
      </c>
      <c r="F151">
        <v>40.520000000000003</v>
      </c>
      <c r="G151">
        <v>15</v>
      </c>
      <c r="H151">
        <v>4</v>
      </c>
      <c r="I151" t="s">
        <v>4</v>
      </c>
      <c r="J151" t="s">
        <v>27</v>
      </c>
      <c r="K151">
        <v>3.3</v>
      </c>
      <c r="L151">
        <v>232</v>
      </c>
      <c r="M151">
        <v>34.44</v>
      </c>
      <c r="N151">
        <v>137.76</v>
      </c>
    </row>
    <row r="152" spans="1:14">
      <c r="A152">
        <v>151</v>
      </c>
      <c r="B152" s="1">
        <v>44732</v>
      </c>
      <c r="C152" s="2">
        <f t="shared" si="2"/>
        <v>6</v>
      </c>
      <c r="D152">
        <v>4519</v>
      </c>
      <c r="E152" t="s">
        <v>9</v>
      </c>
      <c r="F152">
        <v>308.95</v>
      </c>
      <c r="G152">
        <v>5</v>
      </c>
      <c r="H152">
        <v>5</v>
      </c>
      <c r="I152" t="s">
        <v>3</v>
      </c>
      <c r="J152" t="s">
        <v>27</v>
      </c>
      <c r="K152">
        <v>3.5</v>
      </c>
      <c r="L152">
        <v>100</v>
      </c>
      <c r="M152">
        <v>293.5</v>
      </c>
      <c r="N152">
        <v>1467.5</v>
      </c>
    </row>
    <row r="153" spans="1:14">
      <c r="A153">
        <v>152</v>
      </c>
      <c r="B153" s="1">
        <v>45102</v>
      </c>
      <c r="C153" s="2">
        <f t="shared" si="2"/>
        <v>6</v>
      </c>
      <c r="D153">
        <v>3409</v>
      </c>
      <c r="E153" t="s">
        <v>8</v>
      </c>
      <c r="F153">
        <v>420.6</v>
      </c>
      <c r="G153">
        <v>15</v>
      </c>
      <c r="H153">
        <v>1</v>
      </c>
      <c r="I153" t="s">
        <v>5</v>
      </c>
      <c r="J153" t="s">
        <v>30</v>
      </c>
      <c r="K153">
        <v>3.5</v>
      </c>
      <c r="L153">
        <v>263</v>
      </c>
      <c r="M153">
        <v>357.51</v>
      </c>
      <c r="N153">
        <v>357.51</v>
      </c>
    </row>
    <row r="154" spans="1:14">
      <c r="A154">
        <v>153</v>
      </c>
      <c r="B154" s="1">
        <v>44597</v>
      </c>
      <c r="C154" s="2">
        <f t="shared" si="2"/>
        <v>2</v>
      </c>
      <c r="D154">
        <v>1869</v>
      </c>
      <c r="E154" t="s">
        <v>8</v>
      </c>
      <c r="F154">
        <v>286.95</v>
      </c>
      <c r="G154">
        <v>5</v>
      </c>
      <c r="H154">
        <v>2</v>
      </c>
      <c r="I154" t="s">
        <v>5</v>
      </c>
      <c r="J154" t="s">
        <v>26</v>
      </c>
      <c r="K154">
        <v>3.7</v>
      </c>
      <c r="L154">
        <v>217</v>
      </c>
      <c r="M154">
        <v>272.60000000000002</v>
      </c>
      <c r="N154">
        <v>545.20000000000005</v>
      </c>
    </row>
    <row r="155" spans="1:14">
      <c r="A155">
        <v>154</v>
      </c>
      <c r="B155" s="1">
        <v>45086</v>
      </c>
      <c r="C155" s="2">
        <f t="shared" si="2"/>
        <v>6</v>
      </c>
      <c r="D155">
        <v>2393</v>
      </c>
      <c r="E155" t="s">
        <v>8</v>
      </c>
      <c r="F155">
        <v>300.42</v>
      </c>
      <c r="G155">
        <v>15</v>
      </c>
      <c r="H155">
        <v>5</v>
      </c>
      <c r="I155" t="s">
        <v>3</v>
      </c>
      <c r="J155" t="s">
        <v>30</v>
      </c>
      <c r="K155">
        <v>2.6</v>
      </c>
      <c r="L155">
        <v>7</v>
      </c>
      <c r="M155">
        <v>255.36</v>
      </c>
      <c r="N155">
        <v>1276.8</v>
      </c>
    </row>
    <row r="156" spans="1:14">
      <c r="A156">
        <v>155</v>
      </c>
      <c r="B156" s="1">
        <v>44721</v>
      </c>
      <c r="C156" s="2">
        <f t="shared" si="2"/>
        <v>6</v>
      </c>
      <c r="D156">
        <v>4470</v>
      </c>
      <c r="E156" t="s">
        <v>10</v>
      </c>
      <c r="F156">
        <v>338.29</v>
      </c>
      <c r="G156">
        <v>20</v>
      </c>
      <c r="H156">
        <v>5</v>
      </c>
      <c r="I156" t="s">
        <v>4</v>
      </c>
      <c r="J156" t="s">
        <v>27</v>
      </c>
      <c r="K156">
        <v>2</v>
      </c>
      <c r="L156">
        <v>291</v>
      </c>
      <c r="M156">
        <v>270.63</v>
      </c>
      <c r="N156">
        <v>1353.15</v>
      </c>
    </row>
    <row r="157" spans="1:14">
      <c r="A157">
        <v>156</v>
      </c>
      <c r="B157" s="1">
        <v>45260</v>
      </c>
      <c r="C157" s="2">
        <f t="shared" si="2"/>
        <v>11</v>
      </c>
      <c r="D157">
        <v>2837</v>
      </c>
      <c r="E157" t="s">
        <v>13</v>
      </c>
      <c r="F157">
        <v>102.19</v>
      </c>
      <c r="G157">
        <v>15</v>
      </c>
      <c r="H157">
        <v>5</v>
      </c>
      <c r="I157" t="s">
        <v>6</v>
      </c>
      <c r="J157" t="s">
        <v>27</v>
      </c>
      <c r="K157">
        <v>1.9</v>
      </c>
      <c r="L157">
        <v>435</v>
      </c>
      <c r="M157">
        <v>86.86</v>
      </c>
      <c r="N157">
        <v>434.3</v>
      </c>
    </row>
    <row r="158" spans="1:14">
      <c r="A158">
        <v>157</v>
      </c>
      <c r="B158" s="1">
        <v>44804</v>
      </c>
      <c r="C158" s="2">
        <f t="shared" si="2"/>
        <v>8</v>
      </c>
      <c r="D158">
        <v>4191</v>
      </c>
      <c r="E158" t="s">
        <v>12</v>
      </c>
      <c r="F158">
        <v>39.049999999999997</v>
      </c>
      <c r="G158">
        <v>30</v>
      </c>
      <c r="H158">
        <v>4</v>
      </c>
      <c r="I158" t="s">
        <v>3</v>
      </c>
      <c r="J158" t="s">
        <v>27</v>
      </c>
      <c r="K158">
        <v>1.4</v>
      </c>
      <c r="L158">
        <v>374</v>
      </c>
      <c r="M158">
        <v>27.33</v>
      </c>
      <c r="N158">
        <v>109.32</v>
      </c>
    </row>
    <row r="159" spans="1:14">
      <c r="A159">
        <v>158</v>
      </c>
      <c r="B159" s="1">
        <v>44647</v>
      </c>
      <c r="C159" s="2">
        <f t="shared" si="2"/>
        <v>3</v>
      </c>
      <c r="D159">
        <v>4119</v>
      </c>
      <c r="E159" t="s">
        <v>13</v>
      </c>
      <c r="F159">
        <v>427.73</v>
      </c>
      <c r="G159">
        <v>30</v>
      </c>
      <c r="H159">
        <v>3</v>
      </c>
      <c r="I159" t="s">
        <v>4</v>
      </c>
      <c r="J159" t="s">
        <v>29</v>
      </c>
      <c r="K159">
        <v>3.2</v>
      </c>
      <c r="L159">
        <v>459</v>
      </c>
      <c r="M159">
        <v>299.41000000000003</v>
      </c>
      <c r="N159">
        <v>898.23</v>
      </c>
    </row>
    <row r="160" spans="1:14">
      <c r="A160">
        <v>159</v>
      </c>
      <c r="B160" s="1">
        <v>45139</v>
      </c>
      <c r="C160" s="2">
        <f t="shared" si="2"/>
        <v>8</v>
      </c>
      <c r="D160">
        <v>3115</v>
      </c>
      <c r="E160" t="s">
        <v>9</v>
      </c>
      <c r="F160">
        <v>424.07</v>
      </c>
      <c r="G160">
        <v>0</v>
      </c>
      <c r="H160">
        <v>2</v>
      </c>
      <c r="I160" t="s">
        <v>6</v>
      </c>
      <c r="J160" t="s">
        <v>28</v>
      </c>
      <c r="K160">
        <v>3.8</v>
      </c>
      <c r="L160">
        <v>383</v>
      </c>
      <c r="M160">
        <v>424.07</v>
      </c>
      <c r="N160">
        <v>848.14</v>
      </c>
    </row>
    <row r="161" spans="1:14">
      <c r="A161">
        <v>160</v>
      </c>
      <c r="B161" s="1">
        <v>45243</v>
      </c>
      <c r="C161" s="2">
        <f t="shared" si="2"/>
        <v>11</v>
      </c>
      <c r="D161">
        <v>4410</v>
      </c>
      <c r="E161" t="s">
        <v>13</v>
      </c>
      <c r="F161">
        <v>274.60000000000002</v>
      </c>
      <c r="G161">
        <v>15</v>
      </c>
      <c r="H161">
        <v>2</v>
      </c>
      <c r="I161" t="s">
        <v>4</v>
      </c>
      <c r="J161" t="s">
        <v>26</v>
      </c>
      <c r="K161">
        <v>1.1000000000000001</v>
      </c>
      <c r="L161">
        <v>317</v>
      </c>
      <c r="M161">
        <v>233.41</v>
      </c>
      <c r="N161">
        <v>466.82</v>
      </c>
    </row>
    <row r="162" spans="1:14">
      <c r="A162">
        <v>161</v>
      </c>
      <c r="B162" s="1">
        <v>45118</v>
      </c>
      <c r="C162" s="2">
        <f t="shared" si="2"/>
        <v>7</v>
      </c>
      <c r="D162">
        <v>4156</v>
      </c>
      <c r="E162" t="s">
        <v>11</v>
      </c>
      <c r="F162">
        <v>102.55</v>
      </c>
      <c r="G162">
        <v>10</v>
      </c>
      <c r="H162">
        <v>4</v>
      </c>
      <c r="I162" t="s">
        <v>5</v>
      </c>
      <c r="J162" t="s">
        <v>26</v>
      </c>
      <c r="K162">
        <v>3.2</v>
      </c>
      <c r="L162">
        <v>148</v>
      </c>
      <c r="M162">
        <v>92.3</v>
      </c>
      <c r="N162">
        <v>369.2</v>
      </c>
    </row>
    <row r="163" spans="1:14">
      <c r="A163">
        <v>162</v>
      </c>
      <c r="B163" s="1">
        <v>45135</v>
      </c>
      <c r="C163" s="2">
        <f t="shared" si="2"/>
        <v>7</v>
      </c>
      <c r="D163">
        <v>4965</v>
      </c>
      <c r="E163" t="s">
        <v>12</v>
      </c>
      <c r="F163">
        <v>409.54</v>
      </c>
      <c r="G163">
        <v>5</v>
      </c>
      <c r="H163">
        <v>2</v>
      </c>
      <c r="I163" t="s">
        <v>5</v>
      </c>
      <c r="J163" t="s">
        <v>30</v>
      </c>
      <c r="K163">
        <v>3.2</v>
      </c>
      <c r="L163">
        <v>294</v>
      </c>
      <c r="M163">
        <v>389.06</v>
      </c>
      <c r="N163">
        <v>778.12</v>
      </c>
    </row>
    <row r="164" spans="1:14">
      <c r="A164">
        <v>163</v>
      </c>
      <c r="B164" s="1">
        <v>45207</v>
      </c>
      <c r="C164" s="2">
        <f t="shared" si="2"/>
        <v>10</v>
      </c>
      <c r="D164">
        <v>3983</v>
      </c>
      <c r="E164" t="s">
        <v>13</v>
      </c>
      <c r="F164">
        <v>114.02</v>
      </c>
      <c r="G164">
        <v>15</v>
      </c>
      <c r="H164">
        <v>3</v>
      </c>
      <c r="I164" t="s">
        <v>4</v>
      </c>
      <c r="J164" t="s">
        <v>30</v>
      </c>
      <c r="K164">
        <v>1.9</v>
      </c>
      <c r="L164">
        <v>493</v>
      </c>
      <c r="M164">
        <v>96.92</v>
      </c>
      <c r="N164">
        <v>290.76</v>
      </c>
    </row>
    <row r="165" spans="1:14">
      <c r="A165">
        <v>164</v>
      </c>
      <c r="B165" s="1">
        <v>44589</v>
      </c>
      <c r="C165" s="2">
        <f t="shared" si="2"/>
        <v>1</v>
      </c>
      <c r="D165">
        <v>1376</v>
      </c>
      <c r="E165" t="s">
        <v>12</v>
      </c>
      <c r="F165">
        <v>431.15</v>
      </c>
      <c r="G165">
        <v>5</v>
      </c>
      <c r="H165">
        <v>1</v>
      </c>
      <c r="I165" t="s">
        <v>5</v>
      </c>
      <c r="J165" t="s">
        <v>27</v>
      </c>
      <c r="K165">
        <v>3.3</v>
      </c>
      <c r="L165">
        <v>267</v>
      </c>
      <c r="M165">
        <v>409.59</v>
      </c>
      <c r="N165">
        <v>409.59</v>
      </c>
    </row>
    <row r="166" spans="1:14">
      <c r="A166">
        <v>165</v>
      </c>
      <c r="B166" s="1">
        <v>45181</v>
      </c>
      <c r="C166" s="2">
        <f t="shared" si="2"/>
        <v>9</v>
      </c>
      <c r="D166">
        <v>2408</v>
      </c>
      <c r="E166" t="s">
        <v>13</v>
      </c>
      <c r="F166">
        <v>214.77</v>
      </c>
      <c r="G166">
        <v>0</v>
      </c>
      <c r="H166">
        <v>2</v>
      </c>
      <c r="I166" t="s">
        <v>3</v>
      </c>
      <c r="J166" t="s">
        <v>29</v>
      </c>
      <c r="K166">
        <v>3.7</v>
      </c>
      <c r="L166">
        <v>135</v>
      </c>
      <c r="M166">
        <v>214.77</v>
      </c>
      <c r="N166">
        <v>429.54</v>
      </c>
    </row>
    <row r="167" spans="1:14">
      <c r="A167">
        <v>166</v>
      </c>
      <c r="B167" s="1">
        <v>45117</v>
      </c>
      <c r="C167" s="2">
        <f t="shared" si="2"/>
        <v>7</v>
      </c>
      <c r="D167">
        <v>3323</v>
      </c>
      <c r="E167" t="s">
        <v>10</v>
      </c>
      <c r="F167">
        <v>33.46</v>
      </c>
      <c r="G167">
        <v>30</v>
      </c>
      <c r="H167">
        <v>4</v>
      </c>
      <c r="I167" t="s">
        <v>4</v>
      </c>
      <c r="J167" t="s">
        <v>26</v>
      </c>
      <c r="K167">
        <v>4.7</v>
      </c>
      <c r="L167">
        <v>8</v>
      </c>
      <c r="M167">
        <v>23.42</v>
      </c>
      <c r="N167">
        <v>93.68</v>
      </c>
    </row>
    <row r="168" spans="1:14">
      <c r="A168">
        <v>167</v>
      </c>
      <c r="B168" s="1">
        <v>44901</v>
      </c>
      <c r="C168" s="2">
        <f t="shared" si="2"/>
        <v>12</v>
      </c>
      <c r="D168">
        <v>3815</v>
      </c>
      <c r="E168" t="s">
        <v>9</v>
      </c>
      <c r="F168">
        <v>409.35</v>
      </c>
      <c r="G168">
        <v>0</v>
      </c>
      <c r="H168">
        <v>4</v>
      </c>
      <c r="I168" t="s">
        <v>5</v>
      </c>
      <c r="J168" t="s">
        <v>29</v>
      </c>
      <c r="K168">
        <v>2.2999999999999998</v>
      </c>
      <c r="L168">
        <v>62</v>
      </c>
      <c r="M168">
        <v>409.35</v>
      </c>
      <c r="N168">
        <v>1637.4</v>
      </c>
    </row>
    <row r="169" spans="1:14">
      <c r="A169">
        <v>168</v>
      </c>
      <c r="B169" s="1">
        <v>44892</v>
      </c>
      <c r="C169" s="2">
        <f t="shared" si="2"/>
        <v>11</v>
      </c>
      <c r="D169">
        <v>2941</v>
      </c>
      <c r="E169" t="s">
        <v>9</v>
      </c>
      <c r="F169">
        <v>282.51</v>
      </c>
      <c r="G169">
        <v>0</v>
      </c>
      <c r="H169">
        <v>5</v>
      </c>
      <c r="I169" t="s">
        <v>4</v>
      </c>
      <c r="J169" t="s">
        <v>26</v>
      </c>
      <c r="K169">
        <v>2.2999999999999998</v>
      </c>
      <c r="L169">
        <v>412</v>
      </c>
      <c r="M169">
        <v>282.51</v>
      </c>
      <c r="N169">
        <v>1412.55</v>
      </c>
    </row>
    <row r="170" spans="1:14">
      <c r="A170">
        <v>169</v>
      </c>
      <c r="B170" s="1">
        <v>45201</v>
      </c>
      <c r="C170" s="2">
        <f t="shared" si="2"/>
        <v>10</v>
      </c>
      <c r="D170">
        <v>3997</v>
      </c>
      <c r="E170" t="s">
        <v>11</v>
      </c>
      <c r="F170">
        <v>162.59</v>
      </c>
      <c r="G170">
        <v>15</v>
      </c>
      <c r="H170">
        <v>2</v>
      </c>
      <c r="I170" t="s">
        <v>6</v>
      </c>
      <c r="J170" t="s">
        <v>27</v>
      </c>
      <c r="K170">
        <v>3</v>
      </c>
      <c r="L170">
        <v>252</v>
      </c>
      <c r="M170">
        <v>138.19999999999999</v>
      </c>
      <c r="N170">
        <v>276.39999999999998</v>
      </c>
    </row>
    <row r="171" spans="1:14">
      <c r="A171">
        <v>170</v>
      </c>
      <c r="B171" s="1">
        <v>45067</v>
      </c>
      <c r="C171" s="2">
        <f t="shared" si="2"/>
        <v>5</v>
      </c>
      <c r="D171">
        <v>1204</v>
      </c>
      <c r="E171" t="s">
        <v>10</v>
      </c>
      <c r="F171">
        <v>229.2</v>
      </c>
      <c r="G171">
        <v>10</v>
      </c>
      <c r="H171">
        <v>1</v>
      </c>
      <c r="I171" t="s">
        <v>4</v>
      </c>
      <c r="J171" t="s">
        <v>28</v>
      </c>
      <c r="K171">
        <v>2.5</v>
      </c>
      <c r="L171">
        <v>487</v>
      </c>
      <c r="M171">
        <v>206.28</v>
      </c>
      <c r="N171">
        <v>206.28</v>
      </c>
    </row>
    <row r="172" spans="1:14">
      <c r="A172">
        <v>171</v>
      </c>
      <c r="B172" s="1">
        <v>44909</v>
      </c>
      <c r="C172" s="2">
        <f t="shared" si="2"/>
        <v>12</v>
      </c>
      <c r="D172">
        <v>1744</v>
      </c>
      <c r="E172" t="s">
        <v>13</v>
      </c>
      <c r="F172">
        <v>443.67</v>
      </c>
      <c r="G172">
        <v>0</v>
      </c>
      <c r="H172">
        <v>3</v>
      </c>
      <c r="I172" t="s">
        <v>6</v>
      </c>
      <c r="J172" t="s">
        <v>26</v>
      </c>
      <c r="K172">
        <v>1.4</v>
      </c>
      <c r="L172">
        <v>40</v>
      </c>
      <c r="M172">
        <v>443.67</v>
      </c>
      <c r="N172">
        <v>1331.01</v>
      </c>
    </row>
    <row r="173" spans="1:14">
      <c r="A173">
        <v>172</v>
      </c>
      <c r="B173" s="1">
        <v>45034</v>
      </c>
      <c r="C173" s="2">
        <f t="shared" si="2"/>
        <v>4</v>
      </c>
      <c r="D173">
        <v>4136</v>
      </c>
      <c r="E173" t="s">
        <v>13</v>
      </c>
      <c r="F173">
        <v>105.56</v>
      </c>
      <c r="G173">
        <v>10</v>
      </c>
      <c r="H173">
        <v>4</v>
      </c>
      <c r="I173" t="s">
        <v>5</v>
      </c>
      <c r="J173" t="s">
        <v>30</v>
      </c>
      <c r="K173">
        <v>2.7</v>
      </c>
      <c r="L173">
        <v>390</v>
      </c>
      <c r="M173">
        <v>95</v>
      </c>
      <c r="N173">
        <v>380</v>
      </c>
    </row>
    <row r="174" spans="1:14">
      <c r="A174">
        <v>173</v>
      </c>
      <c r="B174" s="1">
        <v>44792</v>
      </c>
      <c r="C174" s="2">
        <f t="shared" si="2"/>
        <v>8</v>
      </c>
      <c r="D174">
        <v>3958</v>
      </c>
      <c r="E174" t="s">
        <v>13</v>
      </c>
      <c r="F174">
        <v>56.38</v>
      </c>
      <c r="G174">
        <v>30</v>
      </c>
      <c r="H174">
        <v>2</v>
      </c>
      <c r="I174" t="s">
        <v>6</v>
      </c>
      <c r="J174" t="s">
        <v>29</v>
      </c>
      <c r="K174">
        <v>3.5</v>
      </c>
      <c r="L174">
        <v>460</v>
      </c>
      <c r="M174">
        <v>39.47</v>
      </c>
      <c r="N174">
        <v>78.94</v>
      </c>
    </row>
    <row r="175" spans="1:14">
      <c r="A175">
        <v>174</v>
      </c>
      <c r="B175" s="1">
        <v>44751</v>
      </c>
      <c r="C175" s="2">
        <f t="shared" si="2"/>
        <v>7</v>
      </c>
      <c r="D175">
        <v>2852</v>
      </c>
      <c r="E175" t="s">
        <v>13</v>
      </c>
      <c r="F175">
        <v>393.47</v>
      </c>
      <c r="G175">
        <v>30</v>
      </c>
      <c r="H175">
        <v>4</v>
      </c>
      <c r="I175" t="s">
        <v>3</v>
      </c>
      <c r="J175" t="s">
        <v>26</v>
      </c>
      <c r="K175">
        <v>2.4</v>
      </c>
      <c r="L175">
        <v>155</v>
      </c>
      <c r="M175">
        <v>275.43</v>
      </c>
      <c r="N175">
        <v>1101.72</v>
      </c>
    </row>
    <row r="176" spans="1:14">
      <c r="A176">
        <v>175</v>
      </c>
      <c r="B176" s="1">
        <v>44786</v>
      </c>
      <c r="C176" s="2">
        <f t="shared" si="2"/>
        <v>8</v>
      </c>
      <c r="D176">
        <v>4150</v>
      </c>
      <c r="E176" t="s">
        <v>12</v>
      </c>
      <c r="F176">
        <v>312.73</v>
      </c>
      <c r="G176">
        <v>10</v>
      </c>
      <c r="H176">
        <v>4</v>
      </c>
      <c r="I176" t="s">
        <v>6</v>
      </c>
      <c r="J176" t="s">
        <v>26</v>
      </c>
      <c r="K176">
        <v>2.2999999999999998</v>
      </c>
      <c r="L176">
        <v>92</v>
      </c>
      <c r="M176">
        <v>281.45999999999998</v>
      </c>
      <c r="N176">
        <v>1125.8399999999999</v>
      </c>
    </row>
    <row r="177" spans="1:14">
      <c r="A177">
        <v>176</v>
      </c>
      <c r="B177" s="1">
        <v>44946</v>
      </c>
      <c r="C177" s="2">
        <f t="shared" si="2"/>
        <v>1</v>
      </c>
      <c r="D177">
        <v>2549</v>
      </c>
      <c r="E177" t="s">
        <v>13</v>
      </c>
      <c r="F177">
        <v>435.63</v>
      </c>
      <c r="G177">
        <v>15</v>
      </c>
      <c r="H177">
        <v>3</v>
      </c>
      <c r="I177" t="s">
        <v>4</v>
      </c>
      <c r="J177" t="s">
        <v>28</v>
      </c>
      <c r="K177">
        <v>5</v>
      </c>
      <c r="L177">
        <v>50</v>
      </c>
      <c r="M177">
        <v>370.29</v>
      </c>
      <c r="N177">
        <v>1110.8699999999999</v>
      </c>
    </row>
    <row r="178" spans="1:14">
      <c r="A178">
        <v>177</v>
      </c>
      <c r="B178" s="1">
        <v>44938</v>
      </c>
      <c r="C178" s="2">
        <f t="shared" si="2"/>
        <v>1</v>
      </c>
      <c r="D178">
        <v>1324</v>
      </c>
      <c r="E178" t="s">
        <v>9</v>
      </c>
      <c r="F178">
        <v>160.13999999999999</v>
      </c>
      <c r="G178">
        <v>0</v>
      </c>
      <c r="H178">
        <v>4</v>
      </c>
      <c r="I178" t="s">
        <v>5</v>
      </c>
      <c r="J178" t="s">
        <v>30</v>
      </c>
      <c r="K178">
        <v>4.5</v>
      </c>
      <c r="L178">
        <v>394</v>
      </c>
      <c r="M178">
        <v>160.13999999999999</v>
      </c>
      <c r="N178">
        <v>640.55999999999995</v>
      </c>
    </row>
    <row r="179" spans="1:14">
      <c r="A179">
        <v>178</v>
      </c>
      <c r="B179" s="1">
        <v>44844</v>
      </c>
      <c r="C179" s="2">
        <f t="shared" si="2"/>
        <v>10</v>
      </c>
      <c r="D179">
        <v>3425</v>
      </c>
      <c r="E179" t="s">
        <v>10</v>
      </c>
      <c r="F179">
        <v>282.82</v>
      </c>
      <c r="G179">
        <v>0</v>
      </c>
      <c r="H179">
        <v>2</v>
      </c>
      <c r="I179" t="s">
        <v>4</v>
      </c>
      <c r="J179" t="s">
        <v>28</v>
      </c>
      <c r="K179">
        <v>3.8</v>
      </c>
      <c r="L179">
        <v>104</v>
      </c>
      <c r="M179">
        <v>282.82</v>
      </c>
      <c r="N179">
        <v>565.64</v>
      </c>
    </row>
    <row r="180" spans="1:14">
      <c r="A180">
        <v>179</v>
      </c>
      <c r="B180" s="1">
        <v>45194</v>
      </c>
      <c r="C180" s="2">
        <f t="shared" si="2"/>
        <v>9</v>
      </c>
      <c r="D180">
        <v>3864</v>
      </c>
      <c r="E180" t="s">
        <v>8</v>
      </c>
      <c r="F180">
        <v>26</v>
      </c>
      <c r="G180">
        <v>5</v>
      </c>
      <c r="H180">
        <v>4</v>
      </c>
      <c r="I180" t="s">
        <v>6</v>
      </c>
      <c r="J180" t="s">
        <v>30</v>
      </c>
      <c r="K180">
        <v>2.4</v>
      </c>
      <c r="L180">
        <v>342</v>
      </c>
      <c r="M180">
        <v>24.7</v>
      </c>
      <c r="N180">
        <v>98.8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2026-03-05T06:42:54Z</dcterms:created>
  <dcterms:modified xsi:type="dcterms:W3CDTF">2026-03-05T16:22:35Z</dcterms:modified>
  <cp:category/>
  <cp:contentStatus/>
</cp:coreProperties>
</file>